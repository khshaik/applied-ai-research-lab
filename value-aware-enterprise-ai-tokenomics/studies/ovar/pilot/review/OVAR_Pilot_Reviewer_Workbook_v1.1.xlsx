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psico-my.sharepoint.com/personal/khaja_shaik_pepsico_com/Documents/Personal/AI/Projects/ThinkAI/value-aware-enterprise-ai-tokenomics/pilot/review/"/>
    </mc:Choice>
  </mc:AlternateContent>
  <xr:revisionPtr revIDLastSave="0" documentId="8_{2FBCAC40-5496-B04C-AF0A-5687BB3A308E}" xr6:coauthVersionLast="47" xr6:coauthVersionMax="47" xr10:uidLastSave="{00000000-0000-0000-0000-000000000000}"/>
  <bookViews>
    <workbookView xWindow="6300" yWindow="2720" windowWidth="28040" windowHeight="17180" xr2:uid="{2847383C-3E09-3C48-BC64-58A7E6617A18}"/>
  </bookViews>
  <sheets>
    <sheet name="Read Me" sheetId="1" r:id="rId1"/>
    <sheet name="Cases" sheetId="2" r:id="rId2"/>
    <sheet name="Scores" sheetId="3" r:id="rId3"/>
    <sheet name="Rubrics" sheetId="4" r:id="rId4"/>
    <sheet name="Check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5" l="1"/>
  <c r="D2" i="5" s="1"/>
  <c r="C3" i="5" a="1"/>
  <c r="C3" i="5" s="1"/>
  <c r="D3" i="5" s="1"/>
  <c r="C4" i="5"/>
  <c r="D4" i="5"/>
  <c r="C5" i="5"/>
  <c r="D5" i="5" s="1"/>
  <c r="C6" i="5"/>
  <c r="D6" i="5" s="1"/>
  <c r="C7" i="5"/>
  <c r="D7" i="5" s="1"/>
  <c r="C8" i="5"/>
  <c r="D8" i="5"/>
  <c r="C9" i="5"/>
  <c r="D9" i="5"/>
  <c r="C10" i="5"/>
  <c r="D10" i="5"/>
  <c r="C11" i="5"/>
  <c r="C12" i="5"/>
  <c r="L2" i="3"/>
  <c r="M2" i="3" s="1" a="1"/>
  <c r="M2" i="3" s="1"/>
  <c r="N2" i="3"/>
  <c r="L3" i="3"/>
  <c r="M3" i="3" s="1" a="1"/>
  <c r="M3" i="3" s="1"/>
  <c r="N3" i="3"/>
  <c r="L4" i="3"/>
  <c r="M4" i="3" s="1" a="1"/>
  <c r="M4" i="3" s="1"/>
  <c r="N4" i="3"/>
  <c r="L5" i="3"/>
  <c r="M5" i="3" s="1" a="1"/>
  <c r="M5" i="3" s="1"/>
  <c r="N5" i="3"/>
  <c r="L6" i="3"/>
  <c r="M6" i="3" s="1" a="1"/>
  <c r="M6" i="3" s="1"/>
  <c r="N6" i="3"/>
  <c r="L7" i="3"/>
  <c r="M7" i="3" s="1" a="1"/>
  <c r="M7" i="3" s="1"/>
  <c r="N7" i="3"/>
  <c r="L8" i="3"/>
  <c r="M8" i="3" s="1" a="1"/>
  <c r="M8" i="3" s="1"/>
  <c r="N8" i="3"/>
  <c r="L9" i="3"/>
  <c r="M9" i="3" s="1" a="1"/>
  <c r="M9" i="3" s="1"/>
  <c r="N9" i="3"/>
  <c r="L10" i="3"/>
  <c r="M10" i="3" s="1" a="1"/>
  <c r="M10" i="3" s="1"/>
  <c r="N10" i="3"/>
  <c r="L11" i="3"/>
  <c r="M11" i="3" s="1" a="1"/>
  <c r="M11" i="3" s="1"/>
  <c r="N11" i="3"/>
  <c r="L12" i="3"/>
  <c r="M12" i="3" s="1" a="1"/>
  <c r="M12" i="3" s="1"/>
  <c r="N12" i="3"/>
  <c r="L13" i="3"/>
  <c r="M13" i="3" s="1" a="1"/>
  <c r="M13" i="3" s="1"/>
  <c r="N13" i="3"/>
  <c r="L14" i="3"/>
  <c r="M14" i="3" s="1" a="1"/>
  <c r="M14" i="3" s="1"/>
  <c r="N14" i="3"/>
  <c r="L15" i="3"/>
  <c r="M15" i="3" s="1" a="1"/>
  <c r="M15" i="3" s="1"/>
  <c r="N15" i="3"/>
  <c r="L16" i="3"/>
  <c r="M16" i="3" s="1" a="1"/>
  <c r="M16" i="3" s="1"/>
  <c r="N16" i="3"/>
  <c r="L17" i="3"/>
  <c r="M17" i="3" s="1" a="1"/>
  <c r="M17" i="3" s="1"/>
  <c r="N17" i="3"/>
  <c r="L18" i="3"/>
  <c r="M18" i="3" s="1" a="1"/>
  <c r="M18" i="3" s="1"/>
  <c r="N18" i="3"/>
  <c r="L19" i="3"/>
  <c r="M19" i="3" s="1" a="1"/>
  <c r="M19" i="3" s="1"/>
  <c r="N19" i="3"/>
  <c r="L20" i="3"/>
  <c r="M20" i="3" s="1" a="1"/>
  <c r="M20" i="3" s="1"/>
  <c r="N20" i="3"/>
  <c r="L21" i="3"/>
  <c r="M21" i="3" s="1" a="1"/>
  <c r="M21" i="3" s="1"/>
  <c r="N21" i="3"/>
  <c r="L22" i="3"/>
  <c r="M22" i="3" s="1" a="1"/>
  <c r="M22" i="3" s="1"/>
  <c r="N22" i="3"/>
  <c r="L23" i="3"/>
  <c r="M23" i="3" s="1" a="1"/>
  <c r="M23" i="3" s="1"/>
  <c r="N23" i="3"/>
  <c r="L24" i="3"/>
  <c r="M24" i="3" s="1" a="1"/>
  <c r="M24" i="3" s="1"/>
  <c r="N24" i="3"/>
  <c r="L25" i="3"/>
  <c r="M25" i="3" s="1" a="1"/>
  <c r="M25" i="3" s="1"/>
  <c r="N25" i="3"/>
  <c r="C13" i="5" l="1"/>
  <c r="D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Khaja Shaik</author>
  </authors>
  <commentList>
    <comment ref="B13" authorId="0" shapeId="0" xr:uid="{7E619DDE-5DF2-464E-8ECC-BA2993D89FC3}">
      <text>
        <r>
          <rPr>
            <b/>
            <sz val="10"/>
            <color rgb="FF000000"/>
            <rFont val="Tahoma"/>
            <family val="2"/>
          </rPr>
          <t>Khaja Shaik:</t>
        </r>
        <r>
          <rPr>
            <sz val="10"/>
            <color rgb="FF000000"/>
            <rFont val="Tahoma"/>
            <family val="2"/>
          </rPr>
          <t xml:space="preserve">
Nine mandatory checks are evaluated in D2:D10.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<sst xmlns="http://schemas.openxmlformats.org/spreadsheetml/2006/main" count="751" uniqueCount="375">
  <si>
    <t>OVAR Constructed Pilot — Blinded Reviewer Workbook v1.1</t>
  </si>
  <si>
    <t>Purpose</t>
  </si>
  <si>
    <t>Score construct clarity and auditability. This workbook contains no investigator reference labels or policy outputs.</t>
  </si>
  <si>
    <t>Reviewer ID</t>
  </si>
  <si>
    <t>Review date</t>
  </si>
  <si>
    <t>Review type</t>
  </si>
  <si>
    <t>Synthetic stress test or independent human construct review; specify in Reviewer ID/notes.</t>
  </si>
  <si>
    <t>Restricted labels accessed?</t>
  </si>
  <si>
    <t>NO</t>
  </si>
  <si>
    <t>Policy outputs accessed?</t>
  </si>
  <si>
    <t>Other review accessed?</t>
  </si>
  <si>
    <t>Source candidate</t>
  </si>
  <si>
    <t>candidate_v1.1/reviewer_visible_cases.json</t>
  </si>
  <si>
    <t>Source SHA-256</t>
  </si>
  <si>
    <t>324c283dd41ccfb27b703986182b12dd66c06df93a5c9252d9fda7a58c76ed4f</t>
  </si>
  <si>
    <t>Instructions</t>
  </si>
  <si>
    <t>Enter integer scores 1–5 on Scores. Explain every 1 or 5. Flag possible leakage and ambiguity. Do not infer hidden outcomes.</t>
  </si>
  <si>
    <t>Interpretation</t>
  </si>
  <si>
    <t>AI–AI agreement is a rubric stress test, not human inter-rater reliability or organizational validation.</t>
  </si>
  <si>
    <t>Current gate</t>
  </si>
  <si>
    <t>REVISE/PIVOT: post-revision synthetic recheck found visible decision cues and three intentionally unverified/no-comparator cases.</t>
  </si>
  <si>
    <t>Next use</t>
  </si>
  <si>
    <t>Design a separately versioned calibration package with neutral reviewer language, then freeze it before policy execution.</t>
  </si>
  <si>
    <t>case_id</t>
  </si>
  <si>
    <t>portfolio_id</t>
  </si>
  <si>
    <t>domain</t>
  </si>
  <si>
    <t>provenance</t>
  </si>
  <si>
    <t>project_stage</t>
  </si>
  <si>
    <t>workflow</t>
  </si>
  <si>
    <t>ai_intervention</t>
  </si>
  <si>
    <t>measurement_window_days</t>
  </si>
  <si>
    <t>approved_budget</t>
  </si>
  <si>
    <t>utilization_rate</t>
  </si>
  <si>
    <t>active_users</t>
  </si>
  <si>
    <t>token_units_m</t>
  </si>
  <si>
    <t>provider_cost</t>
  </si>
  <si>
    <t>infrastructure_cost</t>
  </si>
  <si>
    <t>tooling_cost</t>
  </si>
  <si>
    <t>human_review_cost</t>
  </si>
  <si>
    <t>integration_amortized_cost</t>
  </si>
  <si>
    <t>governance_cost</t>
  </si>
  <si>
    <t>rework_cost</t>
  </si>
  <si>
    <t>technical_quality</t>
  </si>
  <si>
    <t>owner_reported_gross_benefit</t>
  </si>
  <si>
    <t>outcome_contract_present</t>
  </si>
  <si>
    <t>outcome_contract</t>
  </si>
  <si>
    <t>observed_outcome_value</t>
  </si>
  <si>
    <t>baseline_estimated_outcome_value</t>
  </si>
  <si>
    <t>evidence_status</t>
  </si>
  <si>
    <t>baseline_design</t>
  </si>
  <si>
    <t>attribution_confidence</t>
  </si>
  <si>
    <t>uncertainty_half_width</t>
  </si>
  <si>
    <t>expected_harm_cost</t>
  </si>
  <si>
    <t>compliance_status</t>
  </si>
  <si>
    <t>evidence_review_cost</t>
  </si>
  <si>
    <t>access_class</t>
  </si>
  <si>
    <t>exploration_protected</t>
  </si>
  <si>
    <t>authoring_version</t>
  </si>
  <si>
    <t>acceptance_criteria</t>
  </si>
  <si>
    <t>baseline_implementation</t>
  </si>
  <si>
    <t>evidence_locator</t>
  </si>
  <si>
    <t>evidence_reproduction_note</t>
  </si>
  <si>
    <t>evidence_gap</t>
  </si>
  <si>
    <t>valuation_method</t>
  </si>
  <si>
    <t>cost_allocation_method</t>
  </si>
  <si>
    <t>harm_valuation_method</t>
  </si>
  <si>
    <t>decision_checkpoint</t>
  </si>
  <si>
    <t>OV-P01</t>
  </si>
  <si>
    <t>PF-A</t>
  </si>
  <si>
    <t>HEALTHCARE</t>
  </si>
  <si>
    <t>CONSTRUCTED</t>
  </si>
  <si>
    <t>PILOT</t>
  </si>
  <si>
    <t>Emergency-discharge instruction drafting</t>
  </si>
  <si>
    <t>A retrieval-grounded assistant drafts patient-specific discharge instructions for clinician approval.</t>
  </si>
  <si>
    <t>Reduce clinician documentation time while maintaining medication-instruction accuracy above 98% during the 60-day window. Acceptance criteria: Median documentation minutes decrease by at least 20%, medication-instruction accuracy is at least 98%, and no severe medication omission occurs.</t>
  </si>
  <si>
    <t>VERIFIED</t>
  </si>
  <si>
    <t>MATCHED_CONCURRENT</t>
  </si>
  <si>
    <t>PASS</t>
  </si>
  <si>
    <t>STANDARD</t>
  </si>
  <si>
    <t>Median documentation minutes decrease by at least 20%, medication-instruction accuracy is at least 98%, and no severe medication omission occurs.</t>
  </si>
  <si>
    <t>AI-assisted episodes are matched to concurrent non-AI episodes on workflow type, complexity band, site, and operator-experience band before outcomes are inspected.</t>
  </si>
  <si>
    <t>CONSTRUCTED-EVIDENCE/OV-P01/v1.1</t>
  </si>
  <si>
    <t>The constructed evidence package identifies the measurement extract, evaluator rubric, reconciliation check, and content hash needed for replay.</t>
  </si>
  <si>
    <t>No material evidence gap is registered for the constructed case.</t>
  </si>
  <si>
    <t>Value uses recorded staff minutes at loaded labor cost; clinical quality and safety outcomes remain separate non-monetary constraints.</t>
  </si>
  <si>
    <t>Provider, infrastructure, and tooling cost are assigned from workflow trace identifiers; human review and rework use recorded minutes at loaded rates; integration and governance are amortized over the measurement window using the registered allocation key.</t>
  </si>
  <si>
    <t>Expected harm is calculated from prespecified error categories, reviewed severity weights, and observed or bounded event probabilities; clinical harm is not collapsed into revenue.</t>
  </si>
  <si>
    <t>At day 60, the accountable portfolio committee chooses STOP, REVISE, CONTINUE_PILOT, SCALE, or INDETERMINATE and records a signed decision receipt.</t>
  </si>
  <si>
    <t>OV-P02</t>
  </si>
  <si>
    <t>PF-B</t>
  </si>
  <si>
    <t>Radiology report summarization</t>
  </si>
  <si>
    <t>A language model produces patient-facing summaries that are reviewed before release.</t>
  </si>
  <si>
    <t>Decrease explanation time without increasing corrected clinical statements in released summaries. Acceptance criteria: Median explanation time decreases by at least 15%, corrected clinical-statement rate does not exceed the 3% non-inferiority limit, and sampled readability improves by at least one rubric point.</t>
  </si>
  <si>
    <t>INTERRUPTED_TIME_SERIES</t>
  </si>
  <si>
    <t>Median explanation time decreases by at least 15%, corrected clinical-statement rate does not exceed the 3% non-inferiority limit, and sampled readability improves by at least one rubric point.</t>
  </si>
  <si>
    <t>Weekly outcome series includes at least eight pre-period and eight post-period observations with level, slope, seasonality, and concurrent-shock annotations.</t>
  </si>
  <si>
    <t>CONSTRUCTED-EVIDENCE/OV-P02/v1.1</t>
  </si>
  <si>
    <t>At day 45, the accountable portfolio committee chooses STOP, REVISE, CONTINUE_PILOT, SCALE, or INDETERMINATE and records a signed decision receipt.</t>
  </si>
  <si>
    <t>OV-P03</t>
  </si>
  <si>
    <t>PF-C</t>
  </si>
  <si>
    <t>PRE_PRODUCTION</t>
  </si>
  <si>
    <t>Prior-authorization recommendation support</t>
  </si>
  <si>
    <t>An agent recommends approval rationales from clinical and payer-policy records.</t>
  </si>
  <si>
    <t>Reduce authorization handling time while preserving policy compliance and clinician oversight. Acceptance criteria: Median authorization handling time decreases by at least 20%, mandatory-check completion remains at 100%, and no recommendation bypasses clinician approval.</t>
  </si>
  <si>
    <t>PARTIAL</t>
  </si>
  <si>
    <t>STEPPED_WEDGE</t>
  </si>
  <si>
    <t>PROHIBITED</t>
  </si>
  <si>
    <t>MINIMUM_ACCESS</t>
  </si>
  <si>
    <t>Median authorization handling time decreases by at least 20%, mandatory-check completion remains at 100%, and no recommendation bypasses clinician approval.</t>
  </si>
  <si>
    <t>Operational units cross over on a prespecified schedule; the model includes unit and calendar-period effects and records concurrent interventions.</t>
  </si>
  <si>
    <t>CONSTRUCTED-EVIDENCE/OV-P03/v1.1</t>
  </si>
  <si>
    <t>Only 70% of sampled policy-rule paths have completed independent review; rare exception paths remain unaudited.</t>
  </si>
  <si>
    <t>At day 90, the accountable portfolio committee chooses STOP, REVISE, CONTINUE_PILOT, SCALE, or INDETERMINATE and records a signed decision receipt.</t>
  </si>
  <si>
    <t>OV-P04</t>
  </si>
  <si>
    <t>PF-D</t>
  </si>
  <si>
    <t>POC</t>
  </si>
  <si>
    <t>Outpatient appointment no-show prediction</t>
  </si>
  <si>
    <t>A predictive assistant ranks appointments for reminder outreach.</t>
  </si>
  <si>
    <t>Outcome contract not yet registered. Acceptance criteria: Completed reminder contacts per coordinator hour increase by at least 15% and the no-show rate decreases by at least 5% relative to the registered comparison.</t>
  </si>
  <si>
    <t>UNVERIFIED</t>
  </si>
  <si>
    <t>NONE</t>
  </si>
  <si>
    <t>CONDITIONAL</t>
  </si>
  <si>
    <t>EXPLORATION</t>
  </si>
  <si>
    <t>Completed reminder contacts per coordinator hour increase by at least 15% and the no-show rate decreases by at least 5% relative to the registered comparison.</t>
  </si>
  <si>
    <t>No defensible incremental comparator has been registered; the case cannot support a positive causal ROI classification.</t>
  </si>
  <si>
    <t>CONSTRUCTED-EVIDENCE/OV-P04/v1.1</t>
  </si>
  <si>
    <t>No eligible evidence package exists; the locator records the missing-evidence receipt only.</t>
  </si>
  <si>
    <t>Outcome evidence and comparator evidence have not passed independent review.</t>
  </si>
  <si>
    <t>At day 30, the accountable portfolio committee chooses STOP, REVISE, CONTINUE_PILOT, SCALE, or INDETERMINATE and records a signed decision receipt.</t>
  </si>
  <si>
    <t>OV-P05</t>
  </si>
  <si>
    <t>FINANCIAL_SERVICES</t>
  </si>
  <si>
    <t>Know-your-customer document review</t>
  </si>
  <si>
    <t>A multimodal assistant extracts identity evidence and flags inconsistencies for analyst review.</t>
  </si>
  <si>
    <t>Reduce analyst review minutes per completed KYC file without increasing missed mandatory checks. Acceptance criteria: Median analyst minutes per completed KYC file decrease by at least 25%, missed mandatory checks remain below 1%, and false escalations do not rise by more than 2 percentage points.</t>
  </si>
  <si>
    <t>RANDOMIZED</t>
  </si>
  <si>
    <t>Median analyst minutes per completed KYC file decrease by at least 25%, missed mandatory checks remain below 1%, and false escalations do not rise by more than 2 percentage points.</t>
  </si>
  <si>
    <t>Eligible episodes are assigned 1:1 within site and complexity strata; analysis follows assigned group and records crossover.</t>
  </si>
  <si>
    <t>CONSTRUCTED-EVIDENCE/OV-P05/v1.1</t>
  </si>
  <si>
    <t>Value uses recorded analyst minutes and verified avoided processing cost; regulatory and fairness outcomes remain separate constraints.</t>
  </si>
  <si>
    <t>Expected harm combines prespecified compliance/fairness event probabilities with approved remediation-cost ranges; legal prohibitions remain hard constraints.</t>
  </si>
  <si>
    <t>OV-P06</t>
  </si>
  <si>
    <t>Fraud-alert narrative assistance</t>
  </si>
  <si>
    <t>A model drafts alert narratives from transaction and case metadata for investigator review.</t>
  </si>
  <si>
    <t>Lower narrative preparation time while maintaining investigator acceptance and escalation accuracy. Acceptance criteria: Median narrative-preparation time decreases by at least 20%, investigator acceptance is at least 85%, and escalation accuracy remains within a 2-point non-inferiority margin.</t>
  </si>
  <si>
    <t>Median narrative-preparation time decreases by at least 20%, investigator acceptance is at least 85%, and escalation accuracy remains within a 2-point non-inferiority margin.</t>
  </si>
  <si>
    <t>CONSTRUCTED-EVIDENCE/OV-P06/v1.1</t>
  </si>
  <si>
    <t>OV-P07</t>
  </si>
  <si>
    <t>Consumer-credit underwriting explanation</t>
  </si>
  <si>
    <t>An assistant generates adverse-action explanations from model and application features.</t>
  </si>
  <si>
    <t>Reduce explanation preparation time while meeting adverse-action and fairness requirements. Acceptance criteria: Median preparation time decreases by at least 20%, required adverse-action factors appear in 100% of released explanations, and group-level error-rate disparity does not worsen by more than 2 points.</t>
  </si>
  <si>
    <t>BEFORE_AFTER_UNCONTROLLED</t>
  </si>
  <si>
    <t>Median preparation time decreases by at least 20%, required adverse-action factors appear in 100% of released explanations, and group-level error-rate disparity does not worsen by more than 2 points.</t>
  </si>
  <si>
    <t>The comparison uses the immediately preceding operating window without a concurrent control; attribution is therefore capped and alternative explanations must be listed.</t>
  </si>
  <si>
    <t>CONSTRUCTED-EVIDENCE/OV-P07/v1.1</t>
  </si>
  <si>
    <t>Fairness assessment covers major groups but lacks sufficient observations for two smaller eligibility groups.</t>
  </si>
  <si>
    <t>OV-P08</t>
  </si>
  <si>
    <t>Treasury variance commentary</t>
  </si>
  <si>
    <t>A language model drafts monthly variance explanations from approved ledger extracts.</t>
  </si>
  <si>
    <t>Reduce preparation time for accepted variance commentary without increasing factual corrections. Acceptance criteria: Accepted commentary hours decrease by at least 15% while factual-correction frequency remains below 5% and every cited variance reconciles to the approved ledger extract.</t>
  </si>
  <si>
    <t>Accepted commentary hours decrease by at least 15% while factual-correction frequency remains below 5% and every cited variance reconciles to the approved ledger extract.</t>
  </si>
  <si>
    <t>CONSTRUCTED-EVIDENCE/OV-P08/v1.1</t>
  </si>
  <si>
    <t>Accepted-commentary records are available, but correction reasons were not coded consistently in the first week.</t>
  </si>
  <si>
    <t>OV-P09</t>
  </si>
  <si>
    <t>ECOMMERCE</t>
  </si>
  <si>
    <t>Catalog product-description generation</t>
  </si>
  <si>
    <t>A grounded generator drafts descriptions from verified product attributes for editor approval.</t>
  </si>
  <si>
    <t>Increase accepted catalog entries per editor hour without increasing attribute-error returns. Acceptance criteria: Accepted catalog entries per editor hour increase by at least 25%, attribute-error rate remains below 1%, and attribute-related return rate does not increase by more than 0.5 points.</t>
  </si>
  <si>
    <t>Accepted catalog entries per editor hour increase by at least 25%, attribute-error rate remains below 1%, and attribute-related return rate does not increase by more than 0.5 points.</t>
  </si>
  <si>
    <t>CONSTRUCTED-EVIDENCE/OV-P09/v1.1</t>
  </si>
  <si>
    <t>Value uses experimentally or concurrently estimated contribution margin and recorded operating cost, net of discounts, returns, and review effort.</t>
  </si>
  <si>
    <t>Expected harm covers consent, policy, customer-remediation, and fairness events using registered probability and cost ranges.</t>
  </si>
  <si>
    <t>OV-P10</t>
  </si>
  <si>
    <t>Returns-resolution chat agent</t>
  </si>
  <si>
    <t>An agent proposes return eligibility and resolution steps for service representatives.</t>
  </si>
  <si>
    <t>Reduce handling time while maintaining correct return-policy application and repeat-contact rate. Acceptance criteria: Median handling time decreases by at least 15%, incorrect eligibility decisions remain below 2%, and repeat-contact rate does not increase by more than 2 points.</t>
  </si>
  <si>
    <t>Median handling time decreases by at least 15%, incorrect eligibility decisions remain below 2%, and repeat-contact rate does not increase by more than 2 points.</t>
  </si>
  <si>
    <t>CONSTRUCTED-EVIDENCE/OV-P10/v1.1</t>
  </si>
  <si>
    <t>OV-P11</t>
  </si>
  <si>
    <t>Personalized offer recommendation</t>
  </si>
  <si>
    <t>A recommendation service selects promotional offers using browsing and purchase signals.</t>
  </si>
  <si>
    <t>Increase incremental contribution margin per eligible visitor subject to consent and offer-fairness constraints. Acceptance criteria: Incremental contribution margin per eligible visitor is positive with a lower bound above zero, consent eligibility is 100%, and offer-rate disparity remains within the approved 3-point limit.</t>
  </si>
  <si>
    <t>Incremental contribution margin per eligible visitor is positive with a lower bound above zero, consent eligibility is 100%, and offer-rate disparity remains within the approved 3-point limit.</t>
  </si>
  <si>
    <t>CONSTRUCTED-EVIDENCE/OV-P11/v1.1</t>
  </si>
  <si>
    <t>Contribution-margin evidence is available, but cross-device consent linkage remains incomplete for part of the cohort.</t>
  </si>
  <si>
    <t>OV-P12</t>
  </si>
  <si>
    <t>Natural-language storefront search</t>
  </si>
  <si>
    <t>A retrieval system rewrites queries and reranks products for low-result searches.</t>
  </si>
  <si>
    <t>Increase successful product discovery for low-result queries without increasing irrelevant clicks. Acceptance criteria: Successful discovery among low-result queries increases by at least 10%, irrelevant-click rate does not increase by more than 2 points, and zero-result rate falls by at least 5%.</t>
  </si>
  <si>
    <t>Successful discovery among low-result queries increases by at least 10%, irrelevant-click rate does not increase by more than 2 points, and zero-result rate falls by at least 5%.</t>
  </si>
  <si>
    <t>CONSTRUCTED-EVIDENCE/OV-P12/v1.1</t>
  </si>
  <si>
    <t>OV-P13</t>
  </si>
  <si>
    <t>TRANSPORT_LOGISTICS</t>
  </si>
  <si>
    <t>Last-mile dispatch optimization</t>
  </si>
  <si>
    <t>An AI planner proposes route and stop assignments that dispatchers approve before release.</t>
  </si>
  <si>
    <t>Reduce fuel and late-delivery cost per route while preserving driver-hour and service constraints. Acceptance criteria: Fuel plus late-delivery cost per completed route decreases by at least 8%, on-time delivery does not worsen, and driver-hour limits have zero violations.</t>
  </si>
  <si>
    <t>Fuel plus late-delivery cost per completed route decreases by at least 8%, on-time delivery does not worsen, and driver-hour limits have zero violations.</t>
  </si>
  <si>
    <t>CONSTRUCTED-EVIDENCE/OV-P13/v1.1</t>
  </si>
  <si>
    <t>Value uses reconciled fuel, labor, delay, inventory, or document-processing cost; service and safety outcomes remain separate constraints.</t>
  </si>
  <si>
    <t>Expected harm covers service, safety, labor-rule, inventory, and customs exceptions using registered operational severity bands.</t>
  </si>
  <si>
    <t>OV-P14</t>
  </si>
  <si>
    <t>Shipment ETA explanation</t>
  </si>
  <si>
    <t>A model generates customer ETA explanations from carrier events and route status.</t>
  </si>
  <si>
    <t>Reduce manual ETA enquiries without increasing inaccurate promise-window statements. Acceptance criteria: Manual ETA enquiries decrease by at least 15%, inaccurate promise-window statements remain below 2%, and repeat ETA contacts do not increase by more than 2 points.</t>
  </si>
  <si>
    <t>Manual ETA enquiries decrease by at least 15%, inaccurate promise-window statements remain below 2%, and repeat ETA contacts do not increase by more than 2 points.</t>
  </si>
  <si>
    <t>CONSTRUCTED-EVIDENCE/OV-P14/v1.1</t>
  </si>
  <si>
    <t>Contact and promise-window logs are complete; carrier-caused exception attribution is incomplete.</t>
  </si>
  <si>
    <t>OV-P15</t>
  </si>
  <si>
    <t>Warehouse replenishment suggestion</t>
  </si>
  <si>
    <t>An assistant recommends replenishment quantities from demand and stock telemetry.</t>
  </si>
  <si>
    <t>Outcome contract not yet registered. Acceptance criteria: Stockout cost falls by at least 8%, excess-inventory cost does not increase by more than 3%, and no replenishment breaches storage or safety constraints.</t>
  </si>
  <si>
    <t>Stockout cost falls by at least 8%, excess-inventory cost does not increase by more than 3%, and no replenishment breaches storage or safety constraints.</t>
  </si>
  <si>
    <t>CONSTRUCTED-EVIDENCE/OV-P15/v1.1</t>
  </si>
  <si>
    <t>OV-P16</t>
  </si>
  <si>
    <t>Freight-document extraction</t>
  </si>
  <si>
    <t>A multimodal model extracts shipment fields for operations staff to confirm.</t>
  </si>
  <si>
    <t>Reduce manual data-entry cost while holding corrected extraction errors below the registered limit. Acceptance criteria: Manual entry minutes per shipment decrease by at least 20%, corrected extraction fields remain below 2%, and no mandatory customs field is omitted.</t>
  </si>
  <si>
    <t>Manual entry minutes per shipment decrease by at least 20%, corrected extraction fields remain below 2%, and no mandatory customs field is omitted.</t>
  </si>
  <si>
    <t>CONSTRUCTED-EVIDENCE/OV-P16/v1.1</t>
  </si>
  <si>
    <t>OV-P17</t>
  </si>
  <si>
    <t>CYBERSECURITY</t>
  </si>
  <si>
    <t>Security-alert triage</t>
  </si>
  <si>
    <t>An analyst copilot clusters alerts, retrieves runbooks, and drafts triage summaries.</t>
  </si>
  <si>
    <t>Reduce analyst minutes per correctly resolved alert without increasing missed high-severity incidents. Acceptance criteria: Median analyst minutes per correctly resolved alert decrease by at least 20%, missed high-severity incidents remain at zero, and false escalation does not increase by more than 2 points.</t>
  </si>
  <si>
    <t>Median analyst minutes per correctly resolved alert decrease by at least 20%, missed high-severity incidents remain at zero, and false escalation does not increase by more than 2 points.</t>
  </si>
  <si>
    <t>CONSTRUCTED-EVIDENCE/OV-P17/v1.1</t>
  </si>
  <si>
    <t>Value uses recorded analyst time and approved incident-loss proxies; security severity is reported separately and is not monetized without an approved model.</t>
  </si>
  <si>
    <t>Expected harm uses registered incident-severity bands and bounded exposure probabilities; unauthorized execution is a hard constraint.</t>
  </si>
  <si>
    <t>OV-P18</t>
  </si>
  <si>
    <t>Incident-response command suggestion</t>
  </si>
  <si>
    <t>An agent proposes containment commands that require analyst approval before execution.</t>
  </si>
  <si>
    <t>Reduce time to approved containment while avoiding unsafe or unauthorized command proposals. Acceptance criteria: Median time to approved containment decreases by at least 15%, no unauthorized command reaches execution, and unsafe-command proposal rate remains below 1%.</t>
  </si>
  <si>
    <t>Median time to approved containment decreases by at least 15%, no unauthorized command reaches execution, and unsafe-command proposal rate remains below 1%.</t>
  </si>
  <si>
    <t>CONSTRUCTED-EVIDENCE/OV-P18/v1.1</t>
  </si>
  <si>
    <t>Approval and execution logs are complete, but rejected unsafe-command proposals lack a uniform severity code.</t>
  </si>
  <si>
    <t>OV-P19</t>
  </si>
  <si>
    <t>Vulnerability remediation prioritization</t>
  </si>
  <si>
    <t>A model ranks vulnerabilities using asset and threat context for security-engineering review.</t>
  </si>
  <si>
    <t>Outcome contract not yet registered. Acceptance criteria: Median time to an accepted remediation queue decreases by at least 15%, critical-asset recall remains at least 98%, and no protected exploration asset is excluded solely for missing history.</t>
  </si>
  <si>
    <t>Median time to an accepted remediation queue decreases by at least 15%, critical-asset recall remains at least 98%, and no protected exploration asset is excluded solely for missing history.</t>
  </si>
  <si>
    <t>CONSTRUCTED-EVIDENCE/OV-P19/v1.1</t>
  </si>
  <si>
    <t>OV-P20</t>
  </si>
  <si>
    <t>Phishing-report classification</t>
  </si>
  <si>
    <t>A classifier prioritizes employee-reported messages for analyst investigation.</t>
  </si>
  <si>
    <t>Reduce triage time while preserving detection of credential-theft messages and controlling analyst rework. Acceptance criteria: Median triage time decreases by at least 20%, credential-theft recall remains at least 99%, and analyst rework does not exceed the registered 5% ceiling.</t>
  </si>
  <si>
    <t>Median triage time decreases by at least 20%, credential-theft recall remains at least 99%, and analyst rework does not exceed the registered 5% ceiling.</t>
  </si>
  <si>
    <t>CONSTRUCTED-EVIDENCE/OV-P20/v1.1</t>
  </si>
  <si>
    <t>OV-P21</t>
  </si>
  <si>
    <t>CUSTOMER_OPERATIONS</t>
  </si>
  <si>
    <t>Service-case response assistance</t>
  </si>
  <si>
    <t>A grounded assistant drafts responses from policy and account records for representative approval.</t>
  </si>
  <si>
    <t>Reduce handling time per accepted response without increasing repeat contact or policy error. Acceptance criteria: Median handling time per accepted response decreases by at least 20%, policy-error rate remains below 1%, and repeat-contact rate does not increase by more than 2 points.</t>
  </si>
  <si>
    <t>Median handling time per accepted response decreases by at least 20%, policy-error rate remains below 1%, and repeat-contact rate does not increase by more than 2 points.</t>
  </si>
  <si>
    <t>CONSTRUCTED-EVIDENCE/OV-P21/v1.1</t>
  </si>
  <si>
    <t>Value uses recorded handling or interpreter time and verified retained margin where applicable, net of review, offer, correction, and repeat-contact cost.</t>
  </si>
  <si>
    <t>Expected harm covers policy error, inappropriate contact, escalation, and customer-remediation events using registered severity bands.</t>
  </si>
  <si>
    <t>OV-P22</t>
  </si>
  <si>
    <t>Account-manager email drafting</t>
  </si>
  <si>
    <t>An assistant prepares follow-up drafts from CRM notes for account-manager editing.</t>
  </si>
  <si>
    <t>Reduce drafting time for accepted follow-up emails without increasing correction or opt-out rates. Acceptance criteria: Median drafting time decreases by at least 15%, manager acceptance reaches at least 75%, and correction and opt-out rates do not rise by more than 2 and 0.5 points respectively.</t>
  </si>
  <si>
    <t>Median drafting time decreases by at least 15%, manager acceptance reaches at least 75%, and correction and opt-out rates do not rise by more than 2 and 0.5 points respectively.</t>
  </si>
  <si>
    <t>CONSTRUCTED-EVIDENCE/OV-P22/v1.1</t>
  </si>
  <si>
    <t>OV-P23</t>
  </si>
  <si>
    <t>Churn-retention outreach</t>
  </si>
  <si>
    <t>An agent identifies accounts and drafts retention offers for representative review.</t>
  </si>
  <si>
    <t>Increase incremental retained margin net of offer cost without increasing inappropriate-contact complaints. Acceptance criteria: Incremental retained margin net of offer cost has a lower bound above zero, inappropriate-contact complaints do not increase, and all contacted accounts satisfy eligibility rules.</t>
  </si>
  <si>
    <t>Incremental retained margin net of offer cost has a lower bound above zero, inappropriate-contact complaints do not increase, and all contacted accounts satisfy eligibility rules.</t>
  </si>
  <si>
    <t>CONSTRUCTED-EVIDENCE/OV-P23/v1.1</t>
  </si>
  <si>
    <t>Retention and offer-cost records are complete, but some delayed cancellations remain outside the current measurement window.</t>
  </si>
  <si>
    <t>OV-P24</t>
  </si>
  <si>
    <t>Multilingual support translation</t>
  </si>
  <si>
    <t>A language model translates service conversations, with sampled bilingual quality review.</t>
  </si>
  <si>
    <t>Reduce interpreter and handling cost while meeting registered translation-accuracy and escalation thresholds. Acceptance criteria: Interpreter plus handling cost decreases by at least 15%, sampled translation accuracy is at least 95%, and missed mandatory escalation cues remain at zero.</t>
  </si>
  <si>
    <t>Interpreter plus handling cost decreases by at least 15%, sampled translation accuracy is at least 95%, and missed mandatory escalation cues remain at zero.</t>
  </si>
  <si>
    <t>CONSTRUCTED-EVIDENCE/OV-P24/v1.1</t>
  </si>
  <si>
    <t>Operational samples are complete for four languages; two low-volume languages have fewer than the registered review count.</t>
  </si>
  <si>
    <t>outcome_contract_clarity</t>
  </si>
  <si>
    <t>baseline_credibility</t>
  </si>
  <si>
    <t>evidence_auditability</t>
  </si>
  <si>
    <t>cost_boundary_completeness</t>
  </si>
  <si>
    <t>attribution_defensibility</t>
  </si>
  <si>
    <t>decision_realism</t>
  </si>
  <si>
    <t>leakage_flag</t>
  </si>
  <si>
    <t>ambiguity_flag</t>
  </si>
  <si>
    <t>missing_information</t>
  </si>
  <si>
    <t>boundary_rationale</t>
  </si>
  <si>
    <t>completed_scores</t>
  </si>
  <si>
    <t>score_check</t>
  </si>
  <si>
    <t>boundary_check</t>
  </si>
  <si>
    <t>Dimension</t>
  </si>
  <si>
    <t>Definition</t>
  </si>
  <si>
    <t>1 — Not usable</t>
  </si>
  <si>
    <t>2 — Weak</t>
  </si>
  <si>
    <t>3 — Adequate</t>
  </si>
  <si>
    <t>4 — Strong</t>
  </si>
  <si>
    <t>5 — Exemplary</t>
  </si>
  <si>
    <t>Outcome contract clarity</t>
  </si>
  <si>
    <t>Specificity of outcome, workflow/population, measurement window, and acceptance boundary.</t>
  </si>
  <si>
    <t>Cannot identify outcome or rule.</t>
  </si>
  <si>
    <t>Material elements absent.</t>
  </si>
  <si>
    <t>Scoreable with important ambiguity.</t>
  </si>
  <si>
    <t>Clear with minor limitation.</t>
  </si>
  <si>
    <t>Fully specified and decision-ready.</t>
  </si>
  <si>
    <t>Baseline credibility</t>
  </si>
  <si>
    <t>Ability of the stated design to support an incremental comparison.</t>
  </si>
  <si>
    <t>No comparator or unusable design.</t>
  </si>
  <si>
    <t>Major identification weakness.</t>
  </si>
  <si>
    <t>Plausible but important assumptions.</t>
  </si>
  <si>
    <t>Strong design with stated assumptions.</t>
  </si>
  <si>
    <t>Highly credible and reproducible design.</t>
  </si>
  <si>
    <t>Evidence auditability</t>
  </si>
  <si>
    <t>Whether an independent reviewer can inspect and reproduce the outcome assessment.</t>
  </si>
  <si>
    <t>No eligible evidence package.</t>
  </si>
  <si>
    <t>Major evidence/reproduction gaps.</t>
  </si>
  <si>
    <t>Partially auditable.</t>
  </si>
  <si>
    <t>Auditable with minor limitation.</t>
  </si>
  <si>
    <t>Complete locator, hash, rubric, and replay trail.</t>
  </si>
  <si>
    <t>Cost boundary completeness</t>
  </si>
  <si>
    <t>Visibility and allocation of provider, infrastructure, tooling, review, integration, governance, and rework cost.</t>
  </si>
  <si>
    <t>Material cost boundary absent.</t>
  </si>
  <si>
    <t>Several important costs absent.</t>
  </si>
  <si>
    <t>Main categories present; allocation ambiguity.</t>
  </si>
  <si>
    <t>Complete categories with minor allocation limitation.</t>
  </si>
  <si>
    <t>Complete, reconciled, and reproducible allocation.</t>
  </si>
  <si>
    <t>Attribution defensibility</t>
  </si>
  <si>
    <t>Plausibility of attribution confidence given baseline, evidence, and alternatives.</t>
  </si>
  <si>
    <t>No defensible attribution.</t>
  </si>
  <si>
    <t>Weak and materially unsupported.</t>
  </si>
  <si>
    <t>Plausible but uncertain.</t>
  </si>
  <si>
    <t>Strong and transparently bounded.</t>
  </si>
  <si>
    <t>Compelling design-calibrated attribution.</t>
  </si>
  <si>
    <t>Decision realism</t>
  </si>
  <si>
    <t>Whether the record supports a credible stop/revise/continue/scale checkpoint.</t>
  </si>
  <si>
    <t>No actionable decision.</t>
  </si>
  <si>
    <t>Decision setting poorly specified.</t>
  </si>
  <si>
    <t>Plausible but incomplete.</t>
  </si>
  <si>
    <t>Clear operational decision.</t>
  </si>
  <si>
    <t>Fully specified accountable decision and receipt.</t>
  </si>
  <si>
    <t>Flag</t>
  </si>
  <si>
    <t>Allowed values</t>
  </si>
  <si>
    <t>Meaning</t>
  </si>
  <si>
    <t>Leakage flag</t>
  </si>
  <si>
    <t>NO / YES / UNCERTAIN</t>
  </si>
  <si>
    <t>Flag text that appears to reveal a preferred policy or hidden conclusion.</t>
  </si>
  <si>
    <t>Ambiguity flag</t>
  </si>
  <si>
    <t>NO / YES</t>
  </si>
  <si>
    <t>Flag materially competing interpretations; explain in missing-information.</t>
  </si>
  <si>
    <t>Boundary rationale</t>
  </si>
  <si>
    <t>Required when any dimension equals 1 or 5</t>
  </si>
  <si>
    <t>Explain why the score reaches the scale boundary; do not infer hidden truth.</t>
  </si>
  <si>
    <t>Quality check</t>
  </si>
  <si>
    <t>Required</t>
  </si>
  <si>
    <t>Observed</t>
  </si>
  <si>
    <t>Status</t>
  </si>
  <si>
    <t>Case rows</t>
  </si>
  <si>
    <t>Every source case appears once.</t>
  </si>
  <si>
    <t>Unique case IDs</t>
  </si>
  <si>
    <t>Duplicate or missing IDs fail.</t>
  </si>
  <si>
    <t>Completed score cells</t>
  </si>
  <si>
    <t>Six scores for each of 24 cases.</t>
  </si>
  <si>
    <t>Valid score rows</t>
  </si>
  <si>
    <t>Integer scores between 1 and 5.</t>
  </si>
  <si>
    <t>Boundary-rationale rows</t>
  </si>
  <si>
    <t>Every 1 or 5 has rationale.</t>
  </si>
  <si>
    <t>Reviewer identity/orientation entered.</t>
  </si>
  <si>
    <t>Restricted labels not accessed</t>
  </si>
  <si>
    <t>Blinding attestation.</t>
  </si>
  <si>
    <t>Policy outputs not accessed</t>
  </si>
  <si>
    <t>Other review not accessed</t>
  </si>
  <si>
    <t>Independence attestation.</t>
  </si>
  <si>
    <t>Leakage flags (non-NO)</t>
  </si>
  <si>
    <t>REVIEW</t>
  </si>
  <si>
    <t>Not a completeness failure; coordinator must adjudicate.</t>
  </si>
  <si>
    <t>Ambiguity flags</t>
  </si>
  <si>
    <t>Overall return readiness</t>
  </si>
  <si>
    <t>Flags may still require coordinator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</si>
</sst>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9"/>
      <color rgb="FFFFFFFF"/>
      <name val="Aptos"/>
    </font>
    <font>
      <sz val="9"/>
      <color theme="1"/>
      <name val="Aptos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5B21B6"/>
        <bgColor indexed="64"/>
      </patternFill>
    </fill>
    <fill>
      <patternFill patternType="solid">
        <fgColor rgb="FFDDD6FE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EF3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1" fillId="1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31FFB9-997C-3044-B8F2-87351C1AD1DF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2cb810c0-c437-4f48-8206-17eae4f8182e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CF23-46DD-A540-8C6D-0881EFC4B61A}">
  <dimension ref="A1:B14"/>
  <sheetViews>
    <sheetView tabSelected="1" workbookViewId="0">
      <selection activeCell="C10" sqref="C10"/>
    </sheetView>
  </sheetViews>
  <sheetFormatPr baseColWidth="10" defaultRowHeight="16" x14ac:dyDescent="0.2"/>
  <cols>
    <col min="1" max="1" width="25.83203125" customWidth="1"/>
    <col min="2" max="2" width="86.6640625" customWidth="1"/>
  </cols>
  <sheetData>
    <row r="1" spans="1:2" ht="42" customHeight="1" x14ac:dyDescent="0.25">
      <c r="A1" s="2" t="s">
        <v>0</v>
      </c>
      <c r="B1" s="2"/>
    </row>
    <row r="2" spans="1:2" ht="30" customHeight="1" x14ac:dyDescent="0.2">
      <c r="A2" s="3" t="s">
        <v>1</v>
      </c>
      <c r="B2" s="1" t="s">
        <v>2</v>
      </c>
    </row>
    <row r="3" spans="1:2" ht="30" customHeight="1" x14ac:dyDescent="0.2">
      <c r="A3" s="3" t="s">
        <v>3</v>
      </c>
      <c r="B3" s="1"/>
    </row>
    <row r="4" spans="1:2" ht="30" customHeight="1" x14ac:dyDescent="0.2">
      <c r="A4" s="3" t="s">
        <v>4</v>
      </c>
      <c r="B4" s="1"/>
    </row>
    <row r="5" spans="1:2" ht="30" customHeight="1" x14ac:dyDescent="0.2">
      <c r="A5" s="3" t="s">
        <v>5</v>
      </c>
      <c r="B5" s="1" t="s">
        <v>6</v>
      </c>
    </row>
    <row r="6" spans="1:2" ht="30" customHeight="1" x14ac:dyDescent="0.2">
      <c r="A6" s="3" t="s">
        <v>7</v>
      </c>
      <c r="B6" s="1" t="s">
        <v>8</v>
      </c>
    </row>
    <row r="7" spans="1:2" ht="30" customHeight="1" x14ac:dyDescent="0.2">
      <c r="A7" s="3" t="s">
        <v>9</v>
      </c>
      <c r="B7" s="1" t="s">
        <v>8</v>
      </c>
    </row>
    <row r="8" spans="1:2" ht="30" customHeight="1" x14ac:dyDescent="0.2">
      <c r="A8" s="3" t="s">
        <v>10</v>
      </c>
      <c r="B8" s="1" t="s">
        <v>8</v>
      </c>
    </row>
    <row r="9" spans="1:2" ht="30" customHeight="1" x14ac:dyDescent="0.2">
      <c r="A9" s="3" t="s">
        <v>11</v>
      </c>
      <c r="B9" s="1" t="s">
        <v>12</v>
      </c>
    </row>
    <row r="10" spans="1:2" ht="30" customHeight="1" x14ac:dyDescent="0.2">
      <c r="A10" s="3" t="s">
        <v>13</v>
      </c>
      <c r="B10" s="1" t="s">
        <v>14</v>
      </c>
    </row>
    <row r="11" spans="1:2" ht="55" customHeight="1" x14ac:dyDescent="0.2">
      <c r="A11" s="3" t="s">
        <v>15</v>
      </c>
      <c r="B11" s="1" t="s">
        <v>16</v>
      </c>
    </row>
    <row r="12" spans="1:2" ht="55" customHeight="1" x14ac:dyDescent="0.2">
      <c r="A12" s="3" t="s">
        <v>17</v>
      </c>
      <c r="B12" s="1" t="s">
        <v>18</v>
      </c>
    </row>
    <row r="13" spans="1:2" ht="55" customHeight="1" x14ac:dyDescent="0.2">
      <c r="A13" s="3" t="s">
        <v>19</v>
      </c>
      <c r="B13" s="1" t="s">
        <v>20</v>
      </c>
    </row>
    <row r="14" spans="1:2" ht="55" customHeight="1" x14ac:dyDescent="0.2">
      <c r="A14" s="3" t="s">
        <v>21</v>
      </c>
      <c r="B14" s="1" t="s">
        <v>22</v>
      </c>
    </row>
  </sheetData>
  <dataValidations count="1">
    <dataValidation type="list" allowBlank="1" showInputMessage="1" showErrorMessage="1" sqref="B6:B8" xr:uid="{DCC34232-5051-E948-AF6E-02B8B2EAA1B3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ADF5-6611-1C43-9FC0-A72B9D3272EA}">
  <sheetPr>
    <tabColor rgb="FF2563EB"/>
  </sheetPr>
  <dimension ref="A1:AR2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6" x14ac:dyDescent="0.2"/>
  <cols>
    <col min="1" max="5" width="18.33203125" customWidth="1"/>
    <col min="6" max="6" width="43.33203125" customWidth="1"/>
    <col min="7" max="21" width="15.83203125" customWidth="1"/>
    <col min="22" max="22" width="50" customWidth="1"/>
    <col min="23" max="32" width="15.83203125" customWidth="1"/>
    <col min="33" max="44" width="41.6640625" customWidth="1"/>
  </cols>
  <sheetData>
    <row r="1" spans="1:44" ht="45" customHeight="1" x14ac:dyDescent="0.2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5" t="s">
        <v>47</v>
      </c>
      <c r="Z1" s="5" t="s">
        <v>48</v>
      </c>
      <c r="AA1" s="5" t="s">
        <v>49</v>
      </c>
      <c r="AB1" s="5" t="s">
        <v>50</v>
      </c>
      <c r="AC1" s="5" t="s">
        <v>51</v>
      </c>
      <c r="AD1" s="5" t="s">
        <v>52</v>
      </c>
      <c r="AE1" s="5" t="s">
        <v>53</v>
      </c>
      <c r="AF1" s="5" t="s">
        <v>54</v>
      </c>
      <c r="AG1" s="5" t="s">
        <v>55</v>
      </c>
      <c r="AH1" s="5" t="s">
        <v>56</v>
      </c>
      <c r="AI1" s="5" t="s">
        <v>57</v>
      </c>
      <c r="AJ1" s="5" t="s">
        <v>58</v>
      </c>
      <c r="AK1" s="5" t="s">
        <v>59</v>
      </c>
      <c r="AL1" s="5" t="s">
        <v>60</v>
      </c>
      <c r="AM1" s="5" t="s">
        <v>61</v>
      </c>
      <c r="AN1" s="5" t="s">
        <v>62</v>
      </c>
      <c r="AO1" s="5" t="s">
        <v>63</v>
      </c>
      <c r="AP1" s="5" t="s">
        <v>64</v>
      </c>
      <c r="AQ1" s="5" t="s">
        <v>65</v>
      </c>
      <c r="AR1" s="5" t="s">
        <v>66</v>
      </c>
    </row>
    <row r="2" spans="1:44" ht="72" customHeight="1" x14ac:dyDescent="0.2">
      <c r="A2" s="6" t="s">
        <v>67</v>
      </c>
      <c r="B2" s="6" t="s">
        <v>68</v>
      </c>
      <c r="C2" s="6" t="s">
        <v>69</v>
      </c>
      <c r="D2" s="6" t="s">
        <v>70</v>
      </c>
      <c r="E2" s="6" t="s">
        <v>71</v>
      </c>
      <c r="F2" s="6" t="s">
        <v>72</v>
      </c>
      <c r="G2" s="6" t="s">
        <v>73</v>
      </c>
      <c r="H2" s="6">
        <v>60</v>
      </c>
      <c r="I2" s="6">
        <v>18000</v>
      </c>
      <c r="J2" s="6">
        <v>0.82</v>
      </c>
      <c r="K2" s="6">
        <v>46</v>
      </c>
      <c r="L2" s="6">
        <v>13.2</v>
      </c>
      <c r="M2" s="6">
        <v>4200</v>
      </c>
      <c r="N2" s="6">
        <v>900</v>
      </c>
      <c r="O2" s="6">
        <v>600</v>
      </c>
      <c r="P2" s="6">
        <v>1600</v>
      </c>
      <c r="Q2" s="6">
        <v>2200</v>
      </c>
      <c r="R2" s="6">
        <v>500</v>
      </c>
      <c r="S2" s="6">
        <v>400</v>
      </c>
      <c r="T2" s="6">
        <v>0.91</v>
      </c>
      <c r="U2" s="6">
        <v>31000</v>
      </c>
      <c r="V2" s="6" t="b">
        <v>1</v>
      </c>
      <c r="W2" s="6" t="s">
        <v>74</v>
      </c>
      <c r="X2" s="6">
        <v>43000</v>
      </c>
      <c r="Y2" s="6">
        <v>17000</v>
      </c>
      <c r="Z2" s="6" t="s">
        <v>75</v>
      </c>
      <c r="AA2" s="6" t="s">
        <v>76</v>
      </c>
      <c r="AB2" s="6">
        <v>0.82</v>
      </c>
      <c r="AC2" s="6">
        <v>3500</v>
      </c>
      <c r="AD2" s="6">
        <v>300</v>
      </c>
      <c r="AE2" s="6" t="s">
        <v>77</v>
      </c>
      <c r="AF2" s="6">
        <v>900</v>
      </c>
      <c r="AG2" s="6" t="s">
        <v>78</v>
      </c>
      <c r="AH2" s="6" t="b">
        <v>0</v>
      </c>
      <c r="AI2" s="6">
        <v>1.1000000000000001</v>
      </c>
      <c r="AJ2" s="6" t="s">
        <v>79</v>
      </c>
      <c r="AK2" s="6" t="s">
        <v>80</v>
      </c>
      <c r="AL2" s="6" t="s">
        <v>81</v>
      </c>
      <c r="AM2" s="6" t="s">
        <v>82</v>
      </c>
      <c r="AN2" s="6" t="s">
        <v>83</v>
      </c>
      <c r="AO2" s="6" t="s">
        <v>84</v>
      </c>
      <c r="AP2" s="6" t="s">
        <v>85</v>
      </c>
      <c r="AQ2" s="6" t="s">
        <v>86</v>
      </c>
      <c r="AR2" s="6" t="s">
        <v>87</v>
      </c>
    </row>
    <row r="3" spans="1:44" ht="72" customHeight="1" x14ac:dyDescent="0.2">
      <c r="A3" s="6" t="s">
        <v>88</v>
      </c>
      <c r="B3" s="6" t="s">
        <v>89</v>
      </c>
      <c r="C3" s="6" t="s">
        <v>69</v>
      </c>
      <c r="D3" s="6" t="s">
        <v>70</v>
      </c>
      <c r="E3" s="6" t="s">
        <v>71</v>
      </c>
      <c r="F3" s="6" t="s">
        <v>90</v>
      </c>
      <c r="G3" s="6" t="s">
        <v>91</v>
      </c>
      <c r="H3" s="6">
        <v>45</v>
      </c>
      <c r="I3" s="6">
        <v>14000</v>
      </c>
      <c r="J3" s="6">
        <v>0.88</v>
      </c>
      <c r="K3" s="6">
        <v>31</v>
      </c>
      <c r="L3" s="6">
        <v>18.399999999999999</v>
      </c>
      <c r="M3" s="6">
        <v>5100</v>
      </c>
      <c r="N3" s="6">
        <v>850</v>
      </c>
      <c r="O3" s="6">
        <v>500</v>
      </c>
      <c r="P3" s="6">
        <v>2500</v>
      </c>
      <c r="Q3" s="6">
        <v>1600</v>
      </c>
      <c r="R3" s="6">
        <v>600</v>
      </c>
      <c r="S3" s="6">
        <v>3900</v>
      </c>
      <c r="T3" s="6">
        <v>0.86</v>
      </c>
      <c r="U3" s="6">
        <v>26000</v>
      </c>
      <c r="V3" s="6" t="b">
        <v>1</v>
      </c>
      <c r="W3" s="6" t="s">
        <v>92</v>
      </c>
      <c r="X3" s="6">
        <v>30000</v>
      </c>
      <c r="Y3" s="6">
        <v>12000</v>
      </c>
      <c r="Z3" s="6" t="s">
        <v>75</v>
      </c>
      <c r="AA3" s="6" t="s">
        <v>93</v>
      </c>
      <c r="AB3" s="6">
        <v>0.7</v>
      </c>
      <c r="AC3" s="6">
        <v>4500</v>
      </c>
      <c r="AD3" s="6">
        <v>600</v>
      </c>
      <c r="AE3" s="6" t="s">
        <v>77</v>
      </c>
      <c r="AF3" s="6">
        <v>1200</v>
      </c>
      <c r="AG3" s="6" t="s">
        <v>78</v>
      </c>
      <c r="AH3" s="6" t="b">
        <v>0</v>
      </c>
      <c r="AI3" s="6">
        <v>1.1000000000000001</v>
      </c>
      <c r="AJ3" s="6" t="s">
        <v>94</v>
      </c>
      <c r="AK3" s="6" t="s">
        <v>95</v>
      </c>
      <c r="AL3" s="6" t="s">
        <v>96</v>
      </c>
      <c r="AM3" s="6" t="s">
        <v>82</v>
      </c>
      <c r="AN3" s="6" t="s">
        <v>83</v>
      </c>
      <c r="AO3" s="6" t="s">
        <v>84</v>
      </c>
      <c r="AP3" s="6" t="s">
        <v>85</v>
      </c>
      <c r="AQ3" s="6" t="s">
        <v>86</v>
      </c>
      <c r="AR3" s="6" t="s">
        <v>97</v>
      </c>
    </row>
    <row r="4" spans="1:44" ht="72" customHeight="1" x14ac:dyDescent="0.2">
      <c r="A4" s="6" t="s">
        <v>98</v>
      </c>
      <c r="B4" s="6" t="s">
        <v>99</v>
      </c>
      <c r="C4" s="6" t="s">
        <v>69</v>
      </c>
      <c r="D4" s="6" t="s">
        <v>70</v>
      </c>
      <c r="E4" s="6" t="s">
        <v>100</v>
      </c>
      <c r="F4" s="6" t="s">
        <v>101</v>
      </c>
      <c r="G4" s="6" t="s">
        <v>102</v>
      </c>
      <c r="H4" s="6">
        <v>90</v>
      </c>
      <c r="I4" s="6">
        <v>30000</v>
      </c>
      <c r="J4" s="6">
        <v>0.79</v>
      </c>
      <c r="K4" s="6">
        <v>68</v>
      </c>
      <c r="L4" s="6">
        <v>21</v>
      </c>
      <c r="M4" s="6">
        <v>6800</v>
      </c>
      <c r="N4" s="6">
        <v>1500</v>
      </c>
      <c r="O4" s="6">
        <v>1000</v>
      </c>
      <c r="P4" s="6">
        <v>4300</v>
      </c>
      <c r="Q4" s="6">
        <v>5200</v>
      </c>
      <c r="R4" s="6">
        <v>1300</v>
      </c>
      <c r="S4" s="6">
        <v>900</v>
      </c>
      <c r="T4" s="6">
        <v>0.89</v>
      </c>
      <c r="U4" s="6">
        <v>52000</v>
      </c>
      <c r="V4" s="6" t="b">
        <v>1</v>
      </c>
      <c r="W4" s="6" t="s">
        <v>103</v>
      </c>
      <c r="X4" s="6">
        <v>60000</v>
      </c>
      <c r="Y4" s="6">
        <v>23000</v>
      </c>
      <c r="Z4" s="6" t="s">
        <v>104</v>
      </c>
      <c r="AA4" s="6" t="s">
        <v>105</v>
      </c>
      <c r="AB4" s="6">
        <v>0.68</v>
      </c>
      <c r="AC4" s="6">
        <v>7000</v>
      </c>
      <c r="AD4" s="6">
        <v>2600</v>
      </c>
      <c r="AE4" s="6" t="s">
        <v>106</v>
      </c>
      <c r="AF4" s="6">
        <v>1700</v>
      </c>
      <c r="AG4" s="6" t="s">
        <v>107</v>
      </c>
      <c r="AH4" s="6" t="b">
        <v>0</v>
      </c>
      <c r="AI4" s="6">
        <v>1.1000000000000001</v>
      </c>
      <c r="AJ4" s="6" t="s">
        <v>108</v>
      </c>
      <c r="AK4" s="6" t="s">
        <v>109</v>
      </c>
      <c r="AL4" s="6" t="s">
        <v>110</v>
      </c>
      <c r="AM4" s="6" t="s">
        <v>82</v>
      </c>
      <c r="AN4" s="6" t="s">
        <v>111</v>
      </c>
      <c r="AO4" s="6" t="s">
        <v>84</v>
      </c>
      <c r="AP4" s="6" t="s">
        <v>85</v>
      </c>
      <c r="AQ4" s="6" t="s">
        <v>86</v>
      </c>
      <c r="AR4" s="6" t="s">
        <v>112</v>
      </c>
    </row>
    <row r="5" spans="1:44" ht="72" customHeight="1" x14ac:dyDescent="0.2">
      <c r="A5" s="6" t="s">
        <v>113</v>
      </c>
      <c r="B5" s="6" t="s">
        <v>114</v>
      </c>
      <c r="C5" s="6" t="s">
        <v>69</v>
      </c>
      <c r="D5" s="6" t="s">
        <v>70</v>
      </c>
      <c r="E5" s="6" t="s">
        <v>115</v>
      </c>
      <c r="F5" s="6" t="s">
        <v>116</v>
      </c>
      <c r="G5" s="6" t="s">
        <v>117</v>
      </c>
      <c r="H5" s="6">
        <v>30</v>
      </c>
      <c r="I5" s="6">
        <v>9000</v>
      </c>
      <c r="J5" s="6">
        <v>0.66</v>
      </c>
      <c r="K5" s="6">
        <v>14</v>
      </c>
      <c r="L5" s="6">
        <v>5.8</v>
      </c>
      <c r="M5" s="6">
        <v>1800</v>
      </c>
      <c r="N5" s="6">
        <v>500</v>
      </c>
      <c r="O5" s="6">
        <v>250</v>
      </c>
      <c r="P5" s="6">
        <v>900</v>
      </c>
      <c r="Q5" s="6">
        <v>1300</v>
      </c>
      <c r="R5" s="6">
        <v>300</v>
      </c>
      <c r="S5" s="6">
        <v>200</v>
      </c>
      <c r="T5" s="6">
        <v>0.78</v>
      </c>
      <c r="U5" s="6">
        <v>15000</v>
      </c>
      <c r="V5" s="6" t="b">
        <v>0</v>
      </c>
      <c r="W5" s="6" t="s">
        <v>118</v>
      </c>
      <c r="X5" s="6">
        <v>19000</v>
      </c>
      <c r="Y5" s="6"/>
      <c r="Z5" s="6" t="s">
        <v>119</v>
      </c>
      <c r="AA5" s="6" t="s">
        <v>120</v>
      </c>
      <c r="AB5" s="6">
        <v>0.32</v>
      </c>
      <c r="AC5" s="6">
        <v>6500</v>
      </c>
      <c r="AD5" s="6">
        <v>200</v>
      </c>
      <c r="AE5" s="6" t="s">
        <v>121</v>
      </c>
      <c r="AF5" s="6">
        <v>1600</v>
      </c>
      <c r="AG5" s="6" t="s">
        <v>122</v>
      </c>
      <c r="AH5" s="6" t="b">
        <v>1</v>
      </c>
      <c r="AI5" s="6">
        <v>1.1000000000000001</v>
      </c>
      <c r="AJ5" s="6" t="s">
        <v>123</v>
      </c>
      <c r="AK5" s="6" t="s">
        <v>124</v>
      </c>
      <c r="AL5" s="6" t="s">
        <v>125</v>
      </c>
      <c r="AM5" s="6" t="s">
        <v>126</v>
      </c>
      <c r="AN5" s="6" t="s">
        <v>127</v>
      </c>
      <c r="AO5" s="6" t="s">
        <v>84</v>
      </c>
      <c r="AP5" s="6" t="s">
        <v>85</v>
      </c>
      <c r="AQ5" s="6" t="s">
        <v>86</v>
      </c>
      <c r="AR5" s="6" t="s">
        <v>128</v>
      </c>
    </row>
    <row r="6" spans="1:44" ht="72" customHeight="1" x14ac:dyDescent="0.2">
      <c r="A6" s="6" t="s">
        <v>129</v>
      </c>
      <c r="B6" s="6" t="s">
        <v>68</v>
      </c>
      <c r="C6" s="6" t="s">
        <v>130</v>
      </c>
      <c r="D6" s="6" t="s">
        <v>70</v>
      </c>
      <c r="E6" s="6" t="s">
        <v>71</v>
      </c>
      <c r="F6" s="6" t="s">
        <v>131</v>
      </c>
      <c r="G6" s="6" t="s">
        <v>132</v>
      </c>
      <c r="H6" s="6">
        <v>60</v>
      </c>
      <c r="I6" s="6">
        <v>22000</v>
      </c>
      <c r="J6" s="6">
        <v>0.76</v>
      </c>
      <c r="K6" s="6">
        <v>52</v>
      </c>
      <c r="L6" s="6">
        <v>16</v>
      </c>
      <c r="M6" s="6">
        <v>4800</v>
      </c>
      <c r="N6" s="6">
        <v>1200</v>
      </c>
      <c r="O6" s="6">
        <v>700</v>
      </c>
      <c r="P6" s="6">
        <v>2100</v>
      </c>
      <c r="Q6" s="6">
        <v>3000</v>
      </c>
      <c r="R6" s="6">
        <v>900</v>
      </c>
      <c r="S6" s="6">
        <v>500</v>
      </c>
      <c r="T6" s="6">
        <v>0.9</v>
      </c>
      <c r="U6" s="6">
        <v>42000</v>
      </c>
      <c r="V6" s="6" t="b">
        <v>1</v>
      </c>
      <c r="W6" s="6" t="s">
        <v>133</v>
      </c>
      <c r="X6" s="6">
        <v>51000</v>
      </c>
      <c r="Y6" s="6">
        <v>19000</v>
      </c>
      <c r="Z6" s="6" t="s">
        <v>75</v>
      </c>
      <c r="AA6" s="6" t="s">
        <v>134</v>
      </c>
      <c r="AB6" s="6">
        <v>0.86</v>
      </c>
      <c r="AC6" s="6">
        <v>4000</v>
      </c>
      <c r="AD6" s="6">
        <v>500</v>
      </c>
      <c r="AE6" s="6" t="s">
        <v>77</v>
      </c>
      <c r="AF6" s="6">
        <v>1100</v>
      </c>
      <c r="AG6" s="6" t="s">
        <v>78</v>
      </c>
      <c r="AH6" s="6" t="b">
        <v>0</v>
      </c>
      <c r="AI6" s="6">
        <v>1.1000000000000001</v>
      </c>
      <c r="AJ6" s="6" t="s">
        <v>135</v>
      </c>
      <c r="AK6" s="6" t="s">
        <v>136</v>
      </c>
      <c r="AL6" s="6" t="s">
        <v>137</v>
      </c>
      <c r="AM6" s="6" t="s">
        <v>82</v>
      </c>
      <c r="AN6" s="6" t="s">
        <v>83</v>
      </c>
      <c r="AO6" s="6" t="s">
        <v>138</v>
      </c>
      <c r="AP6" s="6" t="s">
        <v>85</v>
      </c>
      <c r="AQ6" s="6" t="s">
        <v>139</v>
      </c>
      <c r="AR6" s="6" t="s">
        <v>87</v>
      </c>
    </row>
    <row r="7" spans="1:44" ht="72" customHeight="1" x14ac:dyDescent="0.2">
      <c r="A7" s="6" t="s">
        <v>140</v>
      </c>
      <c r="B7" s="6" t="s">
        <v>89</v>
      </c>
      <c r="C7" s="6" t="s">
        <v>130</v>
      </c>
      <c r="D7" s="6" t="s">
        <v>70</v>
      </c>
      <c r="E7" s="6" t="s">
        <v>71</v>
      </c>
      <c r="F7" s="6" t="s">
        <v>141</v>
      </c>
      <c r="G7" s="6" t="s">
        <v>142</v>
      </c>
      <c r="H7" s="6">
        <v>45</v>
      </c>
      <c r="I7" s="6">
        <v>16000</v>
      </c>
      <c r="J7" s="6">
        <v>0.57999999999999996</v>
      </c>
      <c r="K7" s="6">
        <v>33</v>
      </c>
      <c r="L7" s="6">
        <v>11.5</v>
      </c>
      <c r="M7" s="6">
        <v>3300</v>
      </c>
      <c r="N7" s="6">
        <v>800</v>
      </c>
      <c r="O7" s="6">
        <v>450</v>
      </c>
      <c r="P7" s="6">
        <v>1900</v>
      </c>
      <c r="Q7" s="6">
        <v>1800</v>
      </c>
      <c r="R7" s="6">
        <v>450</v>
      </c>
      <c r="S7" s="6">
        <v>700</v>
      </c>
      <c r="T7" s="6">
        <v>0.79</v>
      </c>
      <c r="U7" s="6">
        <v>24000</v>
      </c>
      <c r="V7" s="6" t="b">
        <v>1</v>
      </c>
      <c r="W7" s="6" t="s">
        <v>143</v>
      </c>
      <c r="X7" s="6">
        <v>31500</v>
      </c>
      <c r="Y7" s="6">
        <v>13000</v>
      </c>
      <c r="Z7" s="6" t="s">
        <v>75</v>
      </c>
      <c r="AA7" s="6" t="s">
        <v>76</v>
      </c>
      <c r="AB7" s="6">
        <v>0.72</v>
      </c>
      <c r="AC7" s="6">
        <v>5200</v>
      </c>
      <c r="AD7" s="6">
        <v>1000</v>
      </c>
      <c r="AE7" s="6" t="s">
        <v>77</v>
      </c>
      <c r="AF7" s="6">
        <v>900</v>
      </c>
      <c r="AG7" s="6" t="s">
        <v>78</v>
      </c>
      <c r="AH7" s="6" t="b">
        <v>0</v>
      </c>
      <c r="AI7" s="6">
        <v>1.1000000000000001</v>
      </c>
      <c r="AJ7" s="6" t="s">
        <v>144</v>
      </c>
      <c r="AK7" s="6" t="s">
        <v>80</v>
      </c>
      <c r="AL7" s="6" t="s">
        <v>145</v>
      </c>
      <c r="AM7" s="6" t="s">
        <v>82</v>
      </c>
      <c r="AN7" s="6" t="s">
        <v>83</v>
      </c>
      <c r="AO7" s="6" t="s">
        <v>138</v>
      </c>
      <c r="AP7" s="6" t="s">
        <v>85</v>
      </c>
      <c r="AQ7" s="6" t="s">
        <v>139</v>
      </c>
      <c r="AR7" s="6" t="s">
        <v>97</v>
      </c>
    </row>
    <row r="8" spans="1:44" ht="72" customHeight="1" x14ac:dyDescent="0.2">
      <c r="A8" s="6" t="s">
        <v>146</v>
      </c>
      <c r="B8" s="6" t="s">
        <v>99</v>
      </c>
      <c r="C8" s="6" t="s">
        <v>130</v>
      </c>
      <c r="D8" s="6" t="s">
        <v>70</v>
      </c>
      <c r="E8" s="6" t="s">
        <v>100</v>
      </c>
      <c r="F8" s="6" t="s">
        <v>147</v>
      </c>
      <c r="G8" s="6" t="s">
        <v>148</v>
      </c>
      <c r="H8" s="6">
        <v>90</v>
      </c>
      <c r="I8" s="6">
        <v>28000</v>
      </c>
      <c r="J8" s="6">
        <v>0.84</v>
      </c>
      <c r="K8" s="6">
        <v>61</v>
      </c>
      <c r="L8" s="6">
        <v>19.7</v>
      </c>
      <c r="M8" s="6">
        <v>5900</v>
      </c>
      <c r="N8" s="6">
        <v>1200</v>
      </c>
      <c r="O8" s="6">
        <v>800</v>
      </c>
      <c r="P8" s="6">
        <v>3500</v>
      </c>
      <c r="Q8" s="6">
        <v>4500</v>
      </c>
      <c r="R8" s="6">
        <v>1200</v>
      </c>
      <c r="S8" s="6">
        <v>2600</v>
      </c>
      <c r="T8" s="6">
        <v>0.88</v>
      </c>
      <c r="U8" s="6">
        <v>57000</v>
      </c>
      <c r="V8" s="6" t="b">
        <v>1</v>
      </c>
      <c r="W8" s="6" t="s">
        <v>149</v>
      </c>
      <c r="X8" s="6">
        <v>62000</v>
      </c>
      <c r="Y8" s="6">
        <v>21000</v>
      </c>
      <c r="Z8" s="6" t="s">
        <v>104</v>
      </c>
      <c r="AA8" s="6" t="s">
        <v>150</v>
      </c>
      <c r="AB8" s="6">
        <v>0.57999999999999996</v>
      </c>
      <c r="AC8" s="6">
        <v>8000</v>
      </c>
      <c r="AD8" s="6">
        <v>6800</v>
      </c>
      <c r="AE8" s="6" t="s">
        <v>106</v>
      </c>
      <c r="AF8" s="6">
        <v>2000</v>
      </c>
      <c r="AG8" s="6" t="s">
        <v>107</v>
      </c>
      <c r="AH8" s="6" t="b">
        <v>0</v>
      </c>
      <c r="AI8" s="6">
        <v>1.1000000000000001</v>
      </c>
      <c r="AJ8" s="6" t="s">
        <v>151</v>
      </c>
      <c r="AK8" s="6" t="s">
        <v>152</v>
      </c>
      <c r="AL8" s="6" t="s">
        <v>153</v>
      </c>
      <c r="AM8" s="6" t="s">
        <v>82</v>
      </c>
      <c r="AN8" s="6" t="s">
        <v>154</v>
      </c>
      <c r="AO8" s="6" t="s">
        <v>138</v>
      </c>
      <c r="AP8" s="6" t="s">
        <v>85</v>
      </c>
      <c r="AQ8" s="6" t="s">
        <v>139</v>
      </c>
      <c r="AR8" s="6" t="s">
        <v>112</v>
      </c>
    </row>
    <row r="9" spans="1:44" ht="72" customHeight="1" x14ac:dyDescent="0.2">
      <c r="A9" s="6" t="s">
        <v>155</v>
      </c>
      <c r="B9" s="6" t="s">
        <v>114</v>
      </c>
      <c r="C9" s="6" t="s">
        <v>130</v>
      </c>
      <c r="D9" s="6" t="s">
        <v>70</v>
      </c>
      <c r="E9" s="6" t="s">
        <v>115</v>
      </c>
      <c r="F9" s="6" t="s">
        <v>156</v>
      </c>
      <c r="G9" s="6" t="s">
        <v>157</v>
      </c>
      <c r="H9" s="6">
        <v>30</v>
      </c>
      <c r="I9" s="6">
        <v>10000</v>
      </c>
      <c r="J9" s="6">
        <v>0.69</v>
      </c>
      <c r="K9" s="6">
        <v>19</v>
      </c>
      <c r="L9" s="6">
        <v>6.3</v>
      </c>
      <c r="M9" s="6">
        <v>2100</v>
      </c>
      <c r="N9" s="6">
        <v>450</v>
      </c>
      <c r="O9" s="6">
        <v>300</v>
      </c>
      <c r="P9" s="6">
        <v>1000</v>
      </c>
      <c r="Q9" s="6">
        <v>1400</v>
      </c>
      <c r="R9" s="6">
        <v>400</v>
      </c>
      <c r="S9" s="6">
        <v>350</v>
      </c>
      <c r="T9" s="6">
        <v>0.83</v>
      </c>
      <c r="U9" s="6">
        <v>19000</v>
      </c>
      <c r="V9" s="6" t="b">
        <v>1</v>
      </c>
      <c r="W9" s="6" t="s">
        <v>158</v>
      </c>
      <c r="X9" s="6">
        <v>25500</v>
      </c>
      <c r="Y9" s="6">
        <v>11000</v>
      </c>
      <c r="Z9" s="6" t="s">
        <v>104</v>
      </c>
      <c r="AA9" s="6" t="s">
        <v>150</v>
      </c>
      <c r="AB9" s="6">
        <v>0.61</v>
      </c>
      <c r="AC9" s="6">
        <v>6000</v>
      </c>
      <c r="AD9" s="6">
        <v>200</v>
      </c>
      <c r="AE9" s="6" t="s">
        <v>77</v>
      </c>
      <c r="AF9" s="6">
        <v>1000</v>
      </c>
      <c r="AG9" s="6" t="s">
        <v>122</v>
      </c>
      <c r="AH9" s="6" t="b">
        <v>1</v>
      </c>
      <c r="AI9" s="6">
        <v>1.1000000000000001</v>
      </c>
      <c r="AJ9" s="6" t="s">
        <v>159</v>
      </c>
      <c r="AK9" s="6" t="s">
        <v>152</v>
      </c>
      <c r="AL9" s="6" t="s">
        <v>160</v>
      </c>
      <c r="AM9" s="6" t="s">
        <v>82</v>
      </c>
      <c r="AN9" s="6" t="s">
        <v>161</v>
      </c>
      <c r="AO9" s="6" t="s">
        <v>138</v>
      </c>
      <c r="AP9" s="6" t="s">
        <v>85</v>
      </c>
      <c r="AQ9" s="6" t="s">
        <v>139</v>
      </c>
      <c r="AR9" s="6" t="s">
        <v>128</v>
      </c>
    </row>
    <row r="10" spans="1:44" ht="72" customHeight="1" x14ac:dyDescent="0.2">
      <c r="A10" s="6" t="s">
        <v>162</v>
      </c>
      <c r="B10" s="6" t="s">
        <v>68</v>
      </c>
      <c r="C10" s="6" t="s">
        <v>163</v>
      </c>
      <c r="D10" s="6" t="s">
        <v>70</v>
      </c>
      <c r="E10" s="6" t="s">
        <v>71</v>
      </c>
      <c r="F10" s="6" t="s">
        <v>164</v>
      </c>
      <c r="G10" s="6" t="s">
        <v>165</v>
      </c>
      <c r="H10" s="6">
        <v>45</v>
      </c>
      <c r="I10" s="6">
        <v>15000</v>
      </c>
      <c r="J10" s="6">
        <v>0.81</v>
      </c>
      <c r="K10" s="6">
        <v>42</v>
      </c>
      <c r="L10" s="6">
        <v>14.8</v>
      </c>
      <c r="M10" s="6">
        <v>3900</v>
      </c>
      <c r="N10" s="6">
        <v>600</v>
      </c>
      <c r="O10" s="6">
        <v>550</v>
      </c>
      <c r="P10" s="6">
        <v>1700</v>
      </c>
      <c r="Q10" s="6">
        <v>1900</v>
      </c>
      <c r="R10" s="6">
        <v>450</v>
      </c>
      <c r="S10" s="6">
        <v>600</v>
      </c>
      <c r="T10" s="6">
        <v>0.92</v>
      </c>
      <c r="U10" s="6">
        <v>34000</v>
      </c>
      <c r="V10" s="6" t="b">
        <v>1</v>
      </c>
      <c r="W10" s="6" t="s">
        <v>166</v>
      </c>
      <c r="X10" s="6">
        <v>41000</v>
      </c>
      <c r="Y10" s="6">
        <v>15000</v>
      </c>
      <c r="Z10" s="6" t="s">
        <v>75</v>
      </c>
      <c r="AA10" s="6" t="s">
        <v>134</v>
      </c>
      <c r="AB10" s="6">
        <v>0.88</v>
      </c>
      <c r="AC10" s="6">
        <v>3200</v>
      </c>
      <c r="AD10" s="6">
        <v>250</v>
      </c>
      <c r="AE10" s="6" t="s">
        <v>77</v>
      </c>
      <c r="AF10" s="6">
        <v>800</v>
      </c>
      <c r="AG10" s="6" t="s">
        <v>78</v>
      </c>
      <c r="AH10" s="6" t="b">
        <v>0</v>
      </c>
      <c r="AI10" s="6">
        <v>1.1000000000000001</v>
      </c>
      <c r="AJ10" s="6" t="s">
        <v>167</v>
      </c>
      <c r="AK10" s="6" t="s">
        <v>136</v>
      </c>
      <c r="AL10" s="6" t="s">
        <v>168</v>
      </c>
      <c r="AM10" s="6" t="s">
        <v>82</v>
      </c>
      <c r="AN10" s="6" t="s">
        <v>83</v>
      </c>
      <c r="AO10" s="6" t="s">
        <v>169</v>
      </c>
      <c r="AP10" s="6" t="s">
        <v>85</v>
      </c>
      <c r="AQ10" s="6" t="s">
        <v>170</v>
      </c>
      <c r="AR10" s="6" t="s">
        <v>97</v>
      </c>
    </row>
    <row r="11" spans="1:44" ht="72" customHeight="1" x14ac:dyDescent="0.2">
      <c r="A11" s="6" t="s">
        <v>171</v>
      </c>
      <c r="B11" s="6" t="s">
        <v>89</v>
      </c>
      <c r="C11" s="6" t="s">
        <v>163</v>
      </c>
      <c r="D11" s="6" t="s">
        <v>70</v>
      </c>
      <c r="E11" s="6" t="s">
        <v>71</v>
      </c>
      <c r="F11" s="6" t="s">
        <v>172</v>
      </c>
      <c r="G11" s="6" t="s">
        <v>173</v>
      </c>
      <c r="H11" s="6">
        <v>60</v>
      </c>
      <c r="I11" s="6">
        <v>17000</v>
      </c>
      <c r="J11" s="6">
        <v>0.9</v>
      </c>
      <c r="K11" s="6">
        <v>75</v>
      </c>
      <c r="L11" s="6">
        <v>20.5</v>
      </c>
      <c r="M11" s="6">
        <v>5400</v>
      </c>
      <c r="N11" s="6">
        <v>900</v>
      </c>
      <c r="O11" s="6">
        <v>650</v>
      </c>
      <c r="P11" s="6">
        <v>3200</v>
      </c>
      <c r="Q11" s="6">
        <v>2300</v>
      </c>
      <c r="R11" s="6">
        <v>650</v>
      </c>
      <c r="S11" s="6">
        <v>4100</v>
      </c>
      <c r="T11" s="6">
        <v>0.87</v>
      </c>
      <c r="U11" s="6">
        <v>39000</v>
      </c>
      <c r="V11" s="6" t="b">
        <v>1</v>
      </c>
      <c r="W11" s="6" t="s">
        <v>174</v>
      </c>
      <c r="X11" s="6">
        <v>46000</v>
      </c>
      <c r="Y11" s="6">
        <v>17000</v>
      </c>
      <c r="Z11" s="6" t="s">
        <v>75</v>
      </c>
      <c r="AA11" s="6" t="s">
        <v>105</v>
      </c>
      <c r="AB11" s="6">
        <v>0.76</v>
      </c>
      <c r="AC11" s="6">
        <v>5000</v>
      </c>
      <c r="AD11" s="6">
        <v>1100</v>
      </c>
      <c r="AE11" s="6" t="s">
        <v>77</v>
      </c>
      <c r="AF11" s="6">
        <v>1300</v>
      </c>
      <c r="AG11" s="6" t="s">
        <v>78</v>
      </c>
      <c r="AH11" s="6" t="b">
        <v>0</v>
      </c>
      <c r="AI11" s="6">
        <v>1.1000000000000001</v>
      </c>
      <c r="AJ11" s="6" t="s">
        <v>175</v>
      </c>
      <c r="AK11" s="6" t="s">
        <v>109</v>
      </c>
      <c r="AL11" s="6" t="s">
        <v>176</v>
      </c>
      <c r="AM11" s="6" t="s">
        <v>82</v>
      </c>
      <c r="AN11" s="6" t="s">
        <v>83</v>
      </c>
      <c r="AO11" s="6" t="s">
        <v>169</v>
      </c>
      <c r="AP11" s="6" t="s">
        <v>85</v>
      </c>
      <c r="AQ11" s="6" t="s">
        <v>170</v>
      </c>
      <c r="AR11" s="6" t="s">
        <v>87</v>
      </c>
    </row>
    <row r="12" spans="1:44" ht="72" customHeight="1" x14ac:dyDescent="0.2">
      <c r="A12" s="6" t="s">
        <v>177</v>
      </c>
      <c r="B12" s="6" t="s">
        <v>99</v>
      </c>
      <c r="C12" s="6" t="s">
        <v>163</v>
      </c>
      <c r="D12" s="6" t="s">
        <v>70</v>
      </c>
      <c r="E12" s="6" t="s">
        <v>100</v>
      </c>
      <c r="F12" s="6" t="s">
        <v>178</v>
      </c>
      <c r="G12" s="6" t="s">
        <v>179</v>
      </c>
      <c r="H12" s="6">
        <v>90</v>
      </c>
      <c r="I12" s="6">
        <v>26000</v>
      </c>
      <c r="J12" s="6">
        <v>0.77</v>
      </c>
      <c r="K12" s="6">
        <v>120</v>
      </c>
      <c r="L12" s="6">
        <v>24</v>
      </c>
      <c r="M12" s="6">
        <v>6500</v>
      </c>
      <c r="N12" s="6">
        <v>1500</v>
      </c>
      <c r="O12" s="6">
        <v>1000</v>
      </c>
      <c r="P12" s="6">
        <v>2500</v>
      </c>
      <c r="Q12" s="6">
        <v>3900</v>
      </c>
      <c r="R12" s="6">
        <v>1100</v>
      </c>
      <c r="S12" s="6">
        <v>700</v>
      </c>
      <c r="T12" s="6">
        <v>0.9</v>
      </c>
      <c r="U12" s="6">
        <v>61000</v>
      </c>
      <c r="V12" s="6" t="b">
        <v>1</v>
      </c>
      <c r="W12" s="6" t="s">
        <v>180</v>
      </c>
      <c r="X12" s="6">
        <v>69000</v>
      </c>
      <c r="Y12" s="6">
        <v>26000</v>
      </c>
      <c r="Z12" s="6" t="s">
        <v>104</v>
      </c>
      <c r="AA12" s="6" t="s">
        <v>76</v>
      </c>
      <c r="AB12" s="6">
        <v>0.66</v>
      </c>
      <c r="AC12" s="6">
        <v>8000</v>
      </c>
      <c r="AD12" s="6">
        <v>7600</v>
      </c>
      <c r="AE12" s="6" t="s">
        <v>106</v>
      </c>
      <c r="AF12" s="6">
        <v>1900</v>
      </c>
      <c r="AG12" s="6" t="s">
        <v>107</v>
      </c>
      <c r="AH12" s="6" t="b">
        <v>0</v>
      </c>
      <c r="AI12" s="6">
        <v>1.1000000000000001</v>
      </c>
      <c r="AJ12" s="6" t="s">
        <v>181</v>
      </c>
      <c r="AK12" s="6" t="s">
        <v>80</v>
      </c>
      <c r="AL12" s="6" t="s">
        <v>182</v>
      </c>
      <c r="AM12" s="6" t="s">
        <v>82</v>
      </c>
      <c r="AN12" s="6" t="s">
        <v>183</v>
      </c>
      <c r="AO12" s="6" t="s">
        <v>169</v>
      </c>
      <c r="AP12" s="6" t="s">
        <v>85</v>
      </c>
      <c r="AQ12" s="6" t="s">
        <v>170</v>
      </c>
      <c r="AR12" s="6" t="s">
        <v>112</v>
      </c>
    </row>
    <row r="13" spans="1:44" ht="72" customHeight="1" x14ac:dyDescent="0.2">
      <c r="A13" s="6" t="s">
        <v>184</v>
      </c>
      <c r="B13" s="6" t="s">
        <v>114</v>
      </c>
      <c r="C13" s="6" t="s">
        <v>163</v>
      </c>
      <c r="D13" s="6" t="s">
        <v>70</v>
      </c>
      <c r="E13" s="6" t="s">
        <v>115</v>
      </c>
      <c r="F13" s="6" t="s">
        <v>185</v>
      </c>
      <c r="G13" s="6" t="s">
        <v>186</v>
      </c>
      <c r="H13" s="6">
        <v>30</v>
      </c>
      <c r="I13" s="6">
        <v>11000</v>
      </c>
      <c r="J13" s="6">
        <v>0.52</v>
      </c>
      <c r="K13" s="6">
        <v>18</v>
      </c>
      <c r="L13" s="6">
        <v>7</v>
      </c>
      <c r="M13" s="6">
        <v>2400</v>
      </c>
      <c r="N13" s="6">
        <v>500</v>
      </c>
      <c r="O13" s="6">
        <v>350</v>
      </c>
      <c r="P13" s="6">
        <v>1100</v>
      </c>
      <c r="Q13" s="6">
        <v>1600</v>
      </c>
      <c r="R13" s="6">
        <v>350</v>
      </c>
      <c r="S13" s="6">
        <v>250</v>
      </c>
      <c r="T13" s="6">
        <v>0.81</v>
      </c>
      <c r="U13" s="6">
        <v>17500</v>
      </c>
      <c r="V13" s="6" t="b">
        <v>1</v>
      </c>
      <c r="W13" s="6" t="s">
        <v>187</v>
      </c>
      <c r="X13" s="6">
        <v>24500</v>
      </c>
      <c r="Y13" s="6">
        <v>10500</v>
      </c>
      <c r="Z13" s="6" t="s">
        <v>75</v>
      </c>
      <c r="AA13" s="6" t="s">
        <v>76</v>
      </c>
      <c r="AB13" s="6">
        <v>0.74</v>
      </c>
      <c r="AC13" s="6">
        <v>3800</v>
      </c>
      <c r="AD13" s="6">
        <v>200</v>
      </c>
      <c r="AE13" s="6" t="s">
        <v>77</v>
      </c>
      <c r="AF13" s="6">
        <v>900</v>
      </c>
      <c r="AG13" s="6" t="s">
        <v>122</v>
      </c>
      <c r="AH13" s="6" t="b">
        <v>1</v>
      </c>
      <c r="AI13" s="6">
        <v>1.1000000000000001</v>
      </c>
      <c r="AJ13" s="6" t="s">
        <v>188</v>
      </c>
      <c r="AK13" s="6" t="s">
        <v>80</v>
      </c>
      <c r="AL13" s="6" t="s">
        <v>189</v>
      </c>
      <c r="AM13" s="6" t="s">
        <v>82</v>
      </c>
      <c r="AN13" s="6" t="s">
        <v>83</v>
      </c>
      <c r="AO13" s="6" t="s">
        <v>169</v>
      </c>
      <c r="AP13" s="6" t="s">
        <v>85</v>
      </c>
      <c r="AQ13" s="6" t="s">
        <v>170</v>
      </c>
      <c r="AR13" s="6" t="s">
        <v>128</v>
      </c>
    </row>
    <row r="14" spans="1:44" ht="72" customHeight="1" x14ac:dyDescent="0.2">
      <c r="A14" s="6" t="s">
        <v>190</v>
      </c>
      <c r="B14" s="6" t="s">
        <v>68</v>
      </c>
      <c r="C14" s="6" t="s">
        <v>191</v>
      </c>
      <c r="D14" s="6" t="s">
        <v>70</v>
      </c>
      <c r="E14" s="6" t="s">
        <v>71</v>
      </c>
      <c r="F14" s="6" t="s">
        <v>192</v>
      </c>
      <c r="G14" s="6" t="s">
        <v>193</v>
      </c>
      <c r="H14" s="6">
        <v>60</v>
      </c>
      <c r="I14" s="6">
        <v>24000</v>
      </c>
      <c r="J14" s="6">
        <v>0.73</v>
      </c>
      <c r="K14" s="6">
        <v>55</v>
      </c>
      <c r="L14" s="6">
        <v>15.5</v>
      </c>
      <c r="M14" s="6">
        <v>4600</v>
      </c>
      <c r="N14" s="6">
        <v>1100</v>
      </c>
      <c r="O14" s="6">
        <v>650</v>
      </c>
      <c r="P14" s="6">
        <v>2300</v>
      </c>
      <c r="Q14" s="6">
        <v>3400</v>
      </c>
      <c r="R14" s="6">
        <v>800</v>
      </c>
      <c r="S14" s="6">
        <v>500</v>
      </c>
      <c r="T14" s="6">
        <v>0.88</v>
      </c>
      <c r="U14" s="6">
        <v>47000</v>
      </c>
      <c r="V14" s="6" t="b">
        <v>1</v>
      </c>
      <c r="W14" s="6" t="s">
        <v>194</v>
      </c>
      <c r="X14" s="6">
        <v>57000</v>
      </c>
      <c r="Y14" s="6">
        <v>21000</v>
      </c>
      <c r="Z14" s="6" t="s">
        <v>75</v>
      </c>
      <c r="AA14" s="6" t="s">
        <v>105</v>
      </c>
      <c r="AB14" s="6">
        <v>0.84</v>
      </c>
      <c r="AC14" s="6">
        <v>4500</v>
      </c>
      <c r="AD14" s="6">
        <v>700</v>
      </c>
      <c r="AE14" s="6" t="s">
        <v>77</v>
      </c>
      <c r="AF14" s="6">
        <v>1200</v>
      </c>
      <c r="AG14" s="6" t="s">
        <v>78</v>
      </c>
      <c r="AH14" s="6" t="b">
        <v>0</v>
      </c>
      <c r="AI14" s="6">
        <v>1.1000000000000001</v>
      </c>
      <c r="AJ14" s="6" t="s">
        <v>195</v>
      </c>
      <c r="AK14" s="6" t="s">
        <v>109</v>
      </c>
      <c r="AL14" s="6" t="s">
        <v>196</v>
      </c>
      <c r="AM14" s="6" t="s">
        <v>82</v>
      </c>
      <c r="AN14" s="6" t="s">
        <v>83</v>
      </c>
      <c r="AO14" s="6" t="s">
        <v>197</v>
      </c>
      <c r="AP14" s="6" t="s">
        <v>85</v>
      </c>
      <c r="AQ14" s="6" t="s">
        <v>198</v>
      </c>
      <c r="AR14" s="6" t="s">
        <v>87</v>
      </c>
    </row>
    <row r="15" spans="1:44" ht="72" customHeight="1" x14ac:dyDescent="0.2">
      <c r="A15" s="6" t="s">
        <v>199</v>
      </c>
      <c r="B15" s="6" t="s">
        <v>89</v>
      </c>
      <c r="C15" s="6" t="s">
        <v>191</v>
      </c>
      <c r="D15" s="6" t="s">
        <v>70</v>
      </c>
      <c r="E15" s="6" t="s">
        <v>71</v>
      </c>
      <c r="F15" s="6" t="s">
        <v>200</v>
      </c>
      <c r="G15" s="6" t="s">
        <v>201</v>
      </c>
      <c r="H15" s="6">
        <v>45</v>
      </c>
      <c r="I15" s="6">
        <v>13000</v>
      </c>
      <c r="J15" s="6">
        <v>0.64</v>
      </c>
      <c r="K15" s="6">
        <v>28</v>
      </c>
      <c r="L15" s="6">
        <v>9.5</v>
      </c>
      <c r="M15" s="6">
        <v>3000</v>
      </c>
      <c r="N15" s="6">
        <v>650</v>
      </c>
      <c r="O15" s="6">
        <v>400</v>
      </c>
      <c r="P15" s="6">
        <v>1600</v>
      </c>
      <c r="Q15" s="6">
        <v>1500</v>
      </c>
      <c r="R15" s="6">
        <v>400</v>
      </c>
      <c r="S15" s="6">
        <v>550</v>
      </c>
      <c r="T15" s="6">
        <v>0.82</v>
      </c>
      <c r="U15" s="6">
        <v>21000</v>
      </c>
      <c r="V15" s="6" t="b">
        <v>1</v>
      </c>
      <c r="W15" s="6" t="s">
        <v>202</v>
      </c>
      <c r="X15" s="6">
        <v>29000</v>
      </c>
      <c r="Y15" s="6">
        <v>14000</v>
      </c>
      <c r="Z15" s="6" t="s">
        <v>104</v>
      </c>
      <c r="AA15" s="6" t="s">
        <v>93</v>
      </c>
      <c r="AB15" s="6">
        <v>0.63</v>
      </c>
      <c r="AC15" s="6">
        <v>5200</v>
      </c>
      <c r="AD15" s="6">
        <v>800</v>
      </c>
      <c r="AE15" s="6" t="s">
        <v>77</v>
      </c>
      <c r="AF15" s="6">
        <v>1000</v>
      </c>
      <c r="AG15" s="6" t="s">
        <v>78</v>
      </c>
      <c r="AH15" s="6" t="b">
        <v>0</v>
      </c>
      <c r="AI15" s="6">
        <v>1.1000000000000001</v>
      </c>
      <c r="AJ15" s="6" t="s">
        <v>203</v>
      </c>
      <c r="AK15" s="6" t="s">
        <v>95</v>
      </c>
      <c r="AL15" s="6" t="s">
        <v>204</v>
      </c>
      <c r="AM15" s="6" t="s">
        <v>82</v>
      </c>
      <c r="AN15" s="6" t="s">
        <v>205</v>
      </c>
      <c r="AO15" s="6" t="s">
        <v>197</v>
      </c>
      <c r="AP15" s="6" t="s">
        <v>85</v>
      </c>
      <c r="AQ15" s="6" t="s">
        <v>198</v>
      </c>
      <c r="AR15" s="6" t="s">
        <v>97</v>
      </c>
    </row>
    <row r="16" spans="1:44" ht="72" customHeight="1" x14ac:dyDescent="0.2">
      <c r="A16" s="6" t="s">
        <v>206</v>
      </c>
      <c r="B16" s="6" t="s">
        <v>99</v>
      </c>
      <c r="C16" s="6" t="s">
        <v>191</v>
      </c>
      <c r="D16" s="6" t="s">
        <v>70</v>
      </c>
      <c r="E16" s="6" t="s">
        <v>115</v>
      </c>
      <c r="F16" s="6" t="s">
        <v>207</v>
      </c>
      <c r="G16" s="6" t="s">
        <v>208</v>
      </c>
      <c r="H16" s="6">
        <v>30</v>
      </c>
      <c r="I16" s="6">
        <v>12000</v>
      </c>
      <c r="J16" s="6">
        <v>0.71</v>
      </c>
      <c r="K16" s="6">
        <v>22</v>
      </c>
      <c r="L16" s="6">
        <v>8.4</v>
      </c>
      <c r="M16" s="6">
        <v>2700</v>
      </c>
      <c r="N16" s="6">
        <v>700</v>
      </c>
      <c r="O16" s="6">
        <v>450</v>
      </c>
      <c r="P16" s="6">
        <v>1500</v>
      </c>
      <c r="Q16" s="6">
        <v>1800</v>
      </c>
      <c r="R16" s="6">
        <v>500</v>
      </c>
      <c r="S16" s="6">
        <v>350</v>
      </c>
      <c r="T16" s="6">
        <v>0.8</v>
      </c>
      <c r="U16" s="6">
        <v>26000</v>
      </c>
      <c r="V16" s="6" t="b">
        <v>0</v>
      </c>
      <c r="W16" s="6" t="s">
        <v>209</v>
      </c>
      <c r="X16" s="6">
        <v>32000</v>
      </c>
      <c r="Y16" s="6"/>
      <c r="Z16" s="6" t="s">
        <v>119</v>
      </c>
      <c r="AA16" s="6" t="s">
        <v>120</v>
      </c>
      <c r="AB16" s="6">
        <v>0.4</v>
      </c>
      <c r="AC16" s="6">
        <v>7000</v>
      </c>
      <c r="AD16" s="6">
        <v>1200</v>
      </c>
      <c r="AE16" s="6" t="s">
        <v>121</v>
      </c>
      <c r="AF16" s="6">
        <v>1400</v>
      </c>
      <c r="AG16" s="6" t="s">
        <v>122</v>
      </c>
      <c r="AH16" s="6" t="b">
        <v>1</v>
      </c>
      <c r="AI16" s="6">
        <v>1.1000000000000001</v>
      </c>
      <c r="AJ16" s="6" t="s">
        <v>210</v>
      </c>
      <c r="AK16" s="6" t="s">
        <v>124</v>
      </c>
      <c r="AL16" s="6" t="s">
        <v>211</v>
      </c>
      <c r="AM16" s="6" t="s">
        <v>126</v>
      </c>
      <c r="AN16" s="6" t="s">
        <v>127</v>
      </c>
      <c r="AO16" s="6" t="s">
        <v>197</v>
      </c>
      <c r="AP16" s="6" t="s">
        <v>85</v>
      </c>
      <c r="AQ16" s="6" t="s">
        <v>198</v>
      </c>
      <c r="AR16" s="6" t="s">
        <v>128</v>
      </c>
    </row>
    <row r="17" spans="1:44" ht="72" customHeight="1" x14ac:dyDescent="0.2">
      <c r="A17" s="6" t="s">
        <v>212</v>
      </c>
      <c r="B17" s="6" t="s">
        <v>114</v>
      </c>
      <c r="C17" s="6" t="s">
        <v>191</v>
      </c>
      <c r="D17" s="6" t="s">
        <v>70</v>
      </c>
      <c r="E17" s="6" t="s">
        <v>71</v>
      </c>
      <c r="F17" s="6" t="s">
        <v>213</v>
      </c>
      <c r="G17" s="6" t="s">
        <v>214</v>
      </c>
      <c r="H17" s="6">
        <v>60</v>
      </c>
      <c r="I17" s="6">
        <v>15500</v>
      </c>
      <c r="J17" s="6">
        <v>0.83</v>
      </c>
      <c r="K17" s="6">
        <v>39</v>
      </c>
      <c r="L17" s="6">
        <v>17.2</v>
      </c>
      <c r="M17" s="6">
        <v>4700</v>
      </c>
      <c r="N17" s="6">
        <v>900</v>
      </c>
      <c r="O17" s="6">
        <v>600</v>
      </c>
      <c r="P17" s="6">
        <v>3100</v>
      </c>
      <c r="Q17" s="6">
        <v>2100</v>
      </c>
      <c r="R17" s="6">
        <v>550</v>
      </c>
      <c r="S17" s="6">
        <v>300</v>
      </c>
      <c r="T17" s="6">
        <v>0.84</v>
      </c>
      <c r="U17" s="6">
        <v>30000</v>
      </c>
      <c r="V17" s="6" t="b">
        <v>1</v>
      </c>
      <c r="W17" s="6" t="s">
        <v>215</v>
      </c>
      <c r="X17" s="6">
        <v>33000</v>
      </c>
      <c r="Y17" s="6">
        <v>14500</v>
      </c>
      <c r="Z17" s="6" t="s">
        <v>75</v>
      </c>
      <c r="AA17" s="6" t="s">
        <v>76</v>
      </c>
      <c r="AB17" s="6">
        <v>0.77</v>
      </c>
      <c r="AC17" s="6">
        <v>4500</v>
      </c>
      <c r="AD17" s="6">
        <v>300</v>
      </c>
      <c r="AE17" s="6" t="s">
        <v>77</v>
      </c>
      <c r="AF17" s="6">
        <v>850</v>
      </c>
      <c r="AG17" s="6" t="s">
        <v>78</v>
      </c>
      <c r="AH17" s="6" t="b">
        <v>0</v>
      </c>
      <c r="AI17" s="6">
        <v>1.1000000000000001</v>
      </c>
      <c r="AJ17" s="6" t="s">
        <v>216</v>
      </c>
      <c r="AK17" s="6" t="s">
        <v>80</v>
      </c>
      <c r="AL17" s="6" t="s">
        <v>217</v>
      </c>
      <c r="AM17" s="6" t="s">
        <v>82</v>
      </c>
      <c r="AN17" s="6" t="s">
        <v>83</v>
      </c>
      <c r="AO17" s="6" t="s">
        <v>197</v>
      </c>
      <c r="AP17" s="6" t="s">
        <v>85</v>
      </c>
      <c r="AQ17" s="6" t="s">
        <v>198</v>
      </c>
      <c r="AR17" s="6" t="s">
        <v>87</v>
      </c>
    </row>
    <row r="18" spans="1:44" ht="72" customHeight="1" x14ac:dyDescent="0.2">
      <c r="A18" s="6" t="s">
        <v>218</v>
      </c>
      <c r="B18" s="6" t="s">
        <v>68</v>
      </c>
      <c r="C18" s="6" t="s">
        <v>219</v>
      </c>
      <c r="D18" s="6" t="s">
        <v>70</v>
      </c>
      <c r="E18" s="6" t="s">
        <v>71</v>
      </c>
      <c r="F18" s="6" t="s">
        <v>220</v>
      </c>
      <c r="G18" s="6" t="s">
        <v>221</v>
      </c>
      <c r="H18" s="6">
        <v>60</v>
      </c>
      <c r="I18" s="6">
        <v>21000</v>
      </c>
      <c r="J18" s="6">
        <v>0.78</v>
      </c>
      <c r="K18" s="6">
        <v>49</v>
      </c>
      <c r="L18" s="6">
        <v>18</v>
      </c>
      <c r="M18" s="6">
        <v>5200</v>
      </c>
      <c r="N18" s="6">
        <v>1000</v>
      </c>
      <c r="O18" s="6">
        <v>750</v>
      </c>
      <c r="P18" s="6">
        <v>2600</v>
      </c>
      <c r="Q18" s="6">
        <v>2800</v>
      </c>
      <c r="R18" s="6">
        <v>900</v>
      </c>
      <c r="S18" s="6">
        <v>650</v>
      </c>
      <c r="T18" s="6">
        <v>0.91</v>
      </c>
      <c r="U18" s="6">
        <v>46000</v>
      </c>
      <c r="V18" s="6" t="b">
        <v>1</v>
      </c>
      <c r="W18" s="6" t="s">
        <v>222</v>
      </c>
      <c r="X18" s="6">
        <v>56000</v>
      </c>
      <c r="Y18" s="6">
        <v>20000</v>
      </c>
      <c r="Z18" s="6" t="s">
        <v>75</v>
      </c>
      <c r="AA18" s="6" t="s">
        <v>134</v>
      </c>
      <c r="AB18" s="6">
        <v>0.87</v>
      </c>
      <c r="AC18" s="6">
        <v>4800</v>
      </c>
      <c r="AD18" s="6">
        <v>1000</v>
      </c>
      <c r="AE18" s="6" t="s">
        <v>77</v>
      </c>
      <c r="AF18" s="6">
        <v>1500</v>
      </c>
      <c r="AG18" s="6" t="s">
        <v>78</v>
      </c>
      <c r="AH18" s="6" t="b">
        <v>0</v>
      </c>
      <c r="AI18" s="6">
        <v>1.1000000000000001</v>
      </c>
      <c r="AJ18" s="6" t="s">
        <v>223</v>
      </c>
      <c r="AK18" s="6" t="s">
        <v>136</v>
      </c>
      <c r="AL18" s="6" t="s">
        <v>224</v>
      </c>
      <c r="AM18" s="6" t="s">
        <v>82</v>
      </c>
      <c r="AN18" s="6" t="s">
        <v>83</v>
      </c>
      <c r="AO18" s="6" t="s">
        <v>225</v>
      </c>
      <c r="AP18" s="6" t="s">
        <v>85</v>
      </c>
      <c r="AQ18" s="6" t="s">
        <v>226</v>
      </c>
      <c r="AR18" s="6" t="s">
        <v>87</v>
      </c>
    </row>
    <row r="19" spans="1:44" ht="72" customHeight="1" x14ac:dyDescent="0.2">
      <c r="A19" s="6" t="s">
        <v>227</v>
      </c>
      <c r="B19" s="6" t="s">
        <v>89</v>
      </c>
      <c r="C19" s="6" t="s">
        <v>219</v>
      </c>
      <c r="D19" s="6" t="s">
        <v>70</v>
      </c>
      <c r="E19" s="6" t="s">
        <v>71</v>
      </c>
      <c r="F19" s="6" t="s">
        <v>228</v>
      </c>
      <c r="G19" s="6" t="s">
        <v>229</v>
      </c>
      <c r="H19" s="6">
        <v>45</v>
      </c>
      <c r="I19" s="6">
        <v>20000</v>
      </c>
      <c r="J19" s="6">
        <v>0.62</v>
      </c>
      <c r="K19" s="6">
        <v>25</v>
      </c>
      <c r="L19" s="6">
        <v>12</v>
      </c>
      <c r="M19" s="6">
        <v>4100</v>
      </c>
      <c r="N19" s="6">
        <v>850</v>
      </c>
      <c r="O19" s="6">
        <v>650</v>
      </c>
      <c r="P19" s="6">
        <v>2800</v>
      </c>
      <c r="Q19" s="6">
        <v>2500</v>
      </c>
      <c r="R19" s="6">
        <v>1200</v>
      </c>
      <c r="S19" s="6">
        <v>800</v>
      </c>
      <c r="T19" s="6">
        <v>0.8</v>
      </c>
      <c r="U19" s="6">
        <v>37000</v>
      </c>
      <c r="V19" s="6" t="b">
        <v>1</v>
      </c>
      <c r="W19" s="6" t="s">
        <v>230</v>
      </c>
      <c r="X19" s="6">
        <v>43000</v>
      </c>
      <c r="Y19" s="6">
        <v>18000</v>
      </c>
      <c r="Z19" s="6" t="s">
        <v>104</v>
      </c>
      <c r="AA19" s="6" t="s">
        <v>76</v>
      </c>
      <c r="AB19" s="6">
        <v>0.6</v>
      </c>
      <c r="AC19" s="6">
        <v>8500</v>
      </c>
      <c r="AD19" s="6">
        <v>5200</v>
      </c>
      <c r="AE19" s="6" t="s">
        <v>121</v>
      </c>
      <c r="AF19" s="6">
        <v>2100</v>
      </c>
      <c r="AG19" s="6" t="s">
        <v>78</v>
      </c>
      <c r="AH19" s="6" t="b">
        <v>0</v>
      </c>
      <c r="AI19" s="6">
        <v>1.1000000000000001</v>
      </c>
      <c r="AJ19" s="6" t="s">
        <v>231</v>
      </c>
      <c r="AK19" s="6" t="s">
        <v>80</v>
      </c>
      <c r="AL19" s="6" t="s">
        <v>232</v>
      </c>
      <c r="AM19" s="6" t="s">
        <v>82</v>
      </c>
      <c r="AN19" s="6" t="s">
        <v>233</v>
      </c>
      <c r="AO19" s="6" t="s">
        <v>225</v>
      </c>
      <c r="AP19" s="6" t="s">
        <v>85</v>
      </c>
      <c r="AQ19" s="6" t="s">
        <v>226</v>
      </c>
      <c r="AR19" s="6" t="s">
        <v>97</v>
      </c>
    </row>
    <row r="20" spans="1:44" ht="72" customHeight="1" x14ac:dyDescent="0.2">
      <c r="A20" s="6" t="s">
        <v>234</v>
      </c>
      <c r="B20" s="6" t="s">
        <v>99</v>
      </c>
      <c r="C20" s="6" t="s">
        <v>219</v>
      </c>
      <c r="D20" s="6" t="s">
        <v>70</v>
      </c>
      <c r="E20" s="6" t="s">
        <v>115</v>
      </c>
      <c r="F20" s="6" t="s">
        <v>235</v>
      </c>
      <c r="G20" s="6" t="s">
        <v>236</v>
      </c>
      <c r="H20" s="6">
        <v>30</v>
      </c>
      <c r="I20" s="6">
        <v>10000</v>
      </c>
      <c r="J20" s="6">
        <v>0.7</v>
      </c>
      <c r="K20" s="6">
        <v>16</v>
      </c>
      <c r="L20" s="6">
        <v>6.1</v>
      </c>
      <c r="M20" s="6">
        <v>1900</v>
      </c>
      <c r="N20" s="6">
        <v>500</v>
      </c>
      <c r="O20" s="6">
        <v>300</v>
      </c>
      <c r="P20" s="6">
        <v>1000</v>
      </c>
      <c r="Q20" s="6">
        <v>1300</v>
      </c>
      <c r="R20" s="6">
        <v>400</v>
      </c>
      <c r="S20" s="6">
        <v>250</v>
      </c>
      <c r="T20" s="6">
        <v>0.85</v>
      </c>
      <c r="U20" s="6">
        <v>22000</v>
      </c>
      <c r="V20" s="6" t="b">
        <v>0</v>
      </c>
      <c r="W20" s="6" t="s">
        <v>237</v>
      </c>
      <c r="X20" s="6">
        <v>28000</v>
      </c>
      <c r="Y20" s="6"/>
      <c r="Z20" s="6" t="s">
        <v>119</v>
      </c>
      <c r="AA20" s="6" t="s">
        <v>120</v>
      </c>
      <c r="AB20" s="6">
        <v>0.35</v>
      </c>
      <c r="AC20" s="6">
        <v>7500</v>
      </c>
      <c r="AD20" s="6">
        <v>700</v>
      </c>
      <c r="AE20" s="6" t="s">
        <v>121</v>
      </c>
      <c r="AF20" s="6">
        <v>1700</v>
      </c>
      <c r="AG20" s="6" t="s">
        <v>122</v>
      </c>
      <c r="AH20" s="6" t="b">
        <v>1</v>
      </c>
      <c r="AI20" s="6">
        <v>1.1000000000000001</v>
      </c>
      <c r="AJ20" s="6" t="s">
        <v>238</v>
      </c>
      <c r="AK20" s="6" t="s">
        <v>124</v>
      </c>
      <c r="AL20" s="6" t="s">
        <v>239</v>
      </c>
      <c r="AM20" s="6" t="s">
        <v>126</v>
      </c>
      <c r="AN20" s="6" t="s">
        <v>127</v>
      </c>
      <c r="AO20" s="6" t="s">
        <v>225</v>
      </c>
      <c r="AP20" s="6" t="s">
        <v>85</v>
      </c>
      <c r="AQ20" s="6" t="s">
        <v>226</v>
      </c>
      <c r="AR20" s="6" t="s">
        <v>128</v>
      </c>
    </row>
    <row r="21" spans="1:44" ht="72" customHeight="1" x14ac:dyDescent="0.2">
      <c r="A21" s="6" t="s">
        <v>240</v>
      </c>
      <c r="B21" s="6" t="s">
        <v>114</v>
      </c>
      <c r="C21" s="6" t="s">
        <v>219</v>
      </c>
      <c r="D21" s="6" t="s">
        <v>70</v>
      </c>
      <c r="E21" s="6" t="s">
        <v>71</v>
      </c>
      <c r="F21" s="6" t="s">
        <v>241</v>
      </c>
      <c r="G21" s="6" t="s">
        <v>242</v>
      </c>
      <c r="H21" s="6">
        <v>60</v>
      </c>
      <c r="I21" s="6">
        <v>14500</v>
      </c>
      <c r="J21" s="6">
        <v>0.86</v>
      </c>
      <c r="K21" s="6">
        <v>81</v>
      </c>
      <c r="L21" s="6">
        <v>16.8</v>
      </c>
      <c r="M21" s="6">
        <v>4400</v>
      </c>
      <c r="N21" s="6">
        <v>700</v>
      </c>
      <c r="O21" s="6">
        <v>500</v>
      </c>
      <c r="P21" s="6">
        <v>2300</v>
      </c>
      <c r="Q21" s="6">
        <v>1700</v>
      </c>
      <c r="R21" s="6">
        <v>500</v>
      </c>
      <c r="S21" s="6">
        <v>2900</v>
      </c>
      <c r="T21" s="6">
        <v>0.89</v>
      </c>
      <c r="U21" s="6">
        <v>33000</v>
      </c>
      <c r="V21" s="6" t="b">
        <v>1</v>
      </c>
      <c r="W21" s="6" t="s">
        <v>243</v>
      </c>
      <c r="X21" s="6">
        <v>38000</v>
      </c>
      <c r="Y21" s="6">
        <v>15000</v>
      </c>
      <c r="Z21" s="6" t="s">
        <v>75</v>
      </c>
      <c r="AA21" s="6" t="s">
        <v>93</v>
      </c>
      <c r="AB21" s="6">
        <v>0.73</v>
      </c>
      <c r="AC21" s="6">
        <v>5000</v>
      </c>
      <c r="AD21" s="6">
        <v>900</v>
      </c>
      <c r="AE21" s="6" t="s">
        <v>77</v>
      </c>
      <c r="AF21" s="6">
        <v>1000</v>
      </c>
      <c r="AG21" s="6" t="s">
        <v>78</v>
      </c>
      <c r="AH21" s="6" t="b">
        <v>0</v>
      </c>
      <c r="AI21" s="6">
        <v>1.1000000000000001</v>
      </c>
      <c r="AJ21" s="6" t="s">
        <v>244</v>
      </c>
      <c r="AK21" s="6" t="s">
        <v>95</v>
      </c>
      <c r="AL21" s="6" t="s">
        <v>245</v>
      </c>
      <c r="AM21" s="6" t="s">
        <v>82</v>
      </c>
      <c r="AN21" s="6" t="s">
        <v>83</v>
      </c>
      <c r="AO21" s="6" t="s">
        <v>225</v>
      </c>
      <c r="AP21" s="6" t="s">
        <v>85</v>
      </c>
      <c r="AQ21" s="6" t="s">
        <v>226</v>
      </c>
      <c r="AR21" s="6" t="s">
        <v>87</v>
      </c>
    </row>
    <row r="22" spans="1:44" ht="72" customHeight="1" x14ac:dyDescent="0.2">
      <c r="A22" s="6" t="s">
        <v>246</v>
      </c>
      <c r="B22" s="6" t="s">
        <v>68</v>
      </c>
      <c r="C22" s="6" t="s">
        <v>247</v>
      </c>
      <c r="D22" s="6" t="s">
        <v>70</v>
      </c>
      <c r="E22" s="6" t="s">
        <v>71</v>
      </c>
      <c r="F22" s="6" t="s">
        <v>248</v>
      </c>
      <c r="G22" s="6" t="s">
        <v>249</v>
      </c>
      <c r="H22" s="6">
        <v>60</v>
      </c>
      <c r="I22" s="6">
        <v>19000</v>
      </c>
      <c r="J22" s="6">
        <v>0.8</v>
      </c>
      <c r="K22" s="6">
        <v>92</v>
      </c>
      <c r="L22" s="6">
        <v>22</v>
      </c>
      <c r="M22" s="6">
        <v>5800</v>
      </c>
      <c r="N22" s="6">
        <v>850</v>
      </c>
      <c r="O22" s="6">
        <v>650</v>
      </c>
      <c r="P22" s="6">
        <v>2500</v>
      </c>
      <c r="Q22" s="6">
        <v>2300</v>
      </c>
      <c r="R22" s="6">
        <v>650</v>
      </c>
      <c r="S22" s="6">
        <v>700</v>
      </c>
      <c r="T22" s="6">
        <v>0.93</v>
      </c>
      <c r="U22" s="6">
        <v>48000</v>
      </c>
      <c r="V22" s="6" t="b">
        <v>1</v>
      </c>
      <c r="W22" s="6" t="s">
        <v>250</v>
      </c>
      <c r="X22" s="6">
        <v>59000</v>
      </c>
      <c r="Y22" s="6">
        <v>22000</v>
      </c>
      <c r="Z22" s="6" t="s">
        <v>75</v>
      </c>
      <c r="AA22" s="6" t="s">
        <v>105</v>
      </c>
      <c r="AB22" s="6">
        <v>0.85</v>
      </c>
      <c r="AC22" s="6">
        <v>4200</v>
      </c>
      <c r="AD22" s="6">
        <v>400</v>
      </c>
      <c r="AE22" s="6" t="s">
        <v>77</v>
      </c>
      <c r="AF22" s="6">
        <v>1200</v>
      </c>
      <c r="AG22" s="6" t="s">
        <v>78</v>
      </c>
      <c r="AH22" s="6" t="b">
        <v>0</v>
      </c>
      <c r="AI22" s="6">
        <v>1.1000000000000001</v>
      </c>
      <c r="AJ22" s="6" t="s">
        <v>251</v>
      </c>
      <c r="AK22" s="6" t="s">
        <v>109</v>
      </c>
      <c r="AL22" s="6" t="s">
        <v>252</v>
      </c>
      <c r="AM22" s="6" t="s">
        <v>82</v>
      </c>
      <c r="AN22" s="6" t="s">
        <v>83</v>
      </c>
      <c r="AO22" s="6" t="s">
        <v>253</v>
      </c>
      <c r="AP22" s="6" t="s">
        <v>85</v>
      </c>
      <c r="AQ22" s="6" t="s">
        <v>254</v>
      </c>
      <c r="AR22" s="6" t="s">
        <v>87</v>
      </c>
    </row>
    <row r="23" spans="1:44" ht="72" customHeight="1" x14ac:dyDescent="0.2">
      <c r="A23" s="6" t="s">
        <v>255</v>
      </c>
      <c r="B23" s="6" t="s">
        <v>89</v>
      </c>
      <c r="C23" s="6" t="s">
        <v>247</v>
      </c>
      <c r="D23" s="6" t="s">
        <v>70</v>
      </c>
      <c r="E23" s="6" t="s">
        <v>115</v>
      </c>
      <c r="F23" s="6" t="s">
        <v>256</v>
      </c>
      <c r="G23" s="6" t="s">
        <v>257</v>
      </c>
      <c r="H23" s="6">
        <v>30</v>
      </c>
      <c r="I23" s="6">
        <v>9000</v>
      </c>
      <c r="J23" s="6">
        <v>0.38</v>
      </c>
      <c r="K23" s="6">
        <v>12</v>
      </c>
      <c r="L23" s="6">
        <v>4.2</v>
      </c>
      <c r="M23" s="6">
        <v>1500</v>
      </c>
      <c r="N23" s="6">
        <v>350</v>
      </c>
      <c r="O23" s="6">
        <v>250</v>
      </c>
      <c r="P23" s="6">
        <v>950</v>
      </c>
      <c r="Q23" s="6">
        <v>1200</v>
      </c>
      <c r="R23" s="6">
        <v>250</v>
      </c>
      <c r="S23" s="6">
        <v>150</v>
      </c>
      <c r="T23" s="6">
        <v>0.76</v>
      </c>
      <c r="U23" s="6">
        <v>12000</v>
      </c>
      <c r="V23" s="6" t="b">
        <v>1</v>
      </c>
      <c r="W23" s="6" t="s">
        <v>258</v>
      </c>
      <c r="X23" s="6">
        <v>16500</v>
      </c>
      <c r="Y23" s="6">
        <v>8500</v>
      </c>
      <c r="Z23" s="6" t="s">
        <v>75</v>
      </c>
      <c r="AA23" s="6" t="s">
        <v>76</v>
      </c>
      <c r="AB23" s="6">
        <v>0.71</v>
      </c>
      <c r="AC23" s="6">
        <v>2600</v>
      </c>
      <c r="AD23" s="6">
        <v>100</v>
      </c>
      <c r="AE23" s="6" t="s">
        <v>77</v>
      </c>
      <c r="AF23" s="6">
        <v>700</v>
      </c>
      <c r="AG23" s="6" t="s">
        <v>122</v>
      </c>
      <c r="AH23" s="6" t="b">
        <v>1</v>
      </c>
      <c r="AI23" s="6">
        <v>1.1000000000000001</v>
      </c>
      <c r="AJ23" s="6" t="s">
        <v>259</v>
      </c>
      <c r="AK23" s="6" t="s">
        <v>80</v>
      </c>
      <c r="AL23" s="6" t="s">
        <v>260</v>
      </c>
      <c r="AM23" s="6" t="s">
        <v>82</v>
      </c>
      <c r="AN23" s="6" t="s">
        <v>83</v>
      </c>
      <c r="AO23" s="6" t="s">
        <v>253</v>
      </c>
      <c r="AP23" s="6" t="s">
        <v>85</v>
      </c>
      <c r="AQ23" s="6" t="s">
        <v>254</v>
      </c>
      <c r="AR23" s="6" t="s">
        <v>128</v>
      </c>
    </row>
    <row r="24" spans="1:44" ht="72" customHeight="1" x14ac:dyDescent="0.2">
      <c r="A24" s="6" t="s">
        <v>261</v>
      </c>
      <c r="B24" s="6" t="s">
        <v>99</v>
      </c>
      <c r="C24" s="6" t="s">
        <v>247</v>
      </c>
      <c r="D24" s="6" t="s">
        <v>70</v>
      </c>
      <c r="E24" s="6" t="s">
        <v>100</v>
      </c>
      <c r="F24" s="6" t="s">
        <v>262</v>
      </c>
      <c r="G24" s="6" t="s">
        <v>263</v>
      </c>
      <c r="H24" s="6">
        <v>90</v>
      </c>
      <c r="I24" s="6">
        <v>25000</v>
      </c>
      <c r="J24" s="6">
        <v>0.85</v>
      </c>
      <c r="K24" s="6">
        <v>105</v>
      </c>
      <c r="L24" s="6">
        <v>27</v>
      </c>
      <c r="M24" s="6">
        <v>7200</v>
      </c>
      <c r="N24" s="6">
        <v>1200</v>
      </c>
      <c r="O24" s="6">
        <v>850</v>
      </c>
      <c r="P24" s="6">
        <v>4300</v>
      </c>
      <c r="Q24" s="6">
        <v>3600</v>
      </c>
      <c r="R24" s="6">
        <v>900</v>
      </c>
      <c r="S24" s="6">
        <v>5200</v>
      </c>
      <c r="T24" s="6">
        <v>0.88</v>
      </c>
      <c r="U24" s="6">
        <v>65000</v>
      </c>
      <c r="V24" s="6" t="b">
        <v>1</v>
      </c>
      <c r="W24" s="6" t="s">
        <v>264</v>
      </c>
      <c r="X24" s="6">
        <v>71000</v>
      </c>
      <c r="Y24" s="6">
        <v>24000</v>
      </c>
      <c r="Z24" s="6" t="s">
        <v>104</v>
      </c>
      <c r="AA24" s="6" t="s">
        <v>150</v>
      </c>
      <c r="AB24" s="6">
        <v>0.56000000000000005</v>
      </c>
      <c r="AC24" s="6">
        <v>9500</v>
      </c>
      <c r="AD24" s="6">
        <v>2600</v>
      </c>
      <c r="AE24" s="6" t="s">
        <v>77</v>
      </c>
      <c r="AF24" s="6">
        <v>2200</v>
      </c>
      <c r="AG24" s="6" t="s">
        <v>107</v>
      </c>
      <c r="AH24" s="6" t="b">
        <v>0</v>
      </c>
      <c r="AI24" s="6">
        <v>1.1000000000000001</v>
      </c>
      <c r="AJ24" s="6" t="s">
        <v>265</v>
      </c>
      <c r="AK24" s="6" t="s">
        <v>152</v>
      </c>
      <c r="AL24" s="6" t="s">
        <v>266</v>
      </c>
      <c r="AM24" s="6" t="s">
        <v>82</v>
      </c>
      <c r="AN24" s="6" t="s">
        <v>267</v>
      </c>
      <c r="AO24" s="6" t="s">
        <v>253</v>
      </c>
      <c r="AP24" s="6" t="s">
        <v>85</v>
      </c>
      <c r="AQ24" s="6" t="s">
        <v>254</v>
      </c>
      <c r="AR24" s="6" t="s">
        <v>112</v>
      </c>
    </row>
    <row r="25" spans="1:44" ht="72" customHeight="1" x14ac:dyDescent="0.2">
      <c r="A25" s="6" t="s">
        <v>268</v>
      </c>
      <c r="B25" s="6" t="s">
        <v>114</v>
      </c>
      <c r="C25" s="6" t="s">
        <v>247</v>
      </c>
      <c r="D25" s="6" t="s">
        <v>70</v>
      </c>
      <c r="E25" s="6" t="s">
        <v>71</v>
      </c>
      <c r="F25" s="6" t="s">
        <v>269</v>
      </c>
      <c r="G25" s="6" t="s">
        <v>270</v>
      </c>
      <c r="H25" s="6">
        <v>45</v>
      </c>
      <c r="I25" s="6">
        <v>12500</v>
      </c>
      <c r="J25" s="6">
        <v>0.67</v>
      </c>
      <c r="K25" s="6">
        <v>37</v>
      </c>
      <c r="L25" s="6">
        <v>10.4</v>
      </c>
      <c r="M25" s="6">
        <v>3200</v>
      </c>
      <c r="N25" s="6">
        <v>550</v>
      </c>
      <c r="O25" s="6">
        <v>450</v>
      </c>
      <c r="P25" s="6">
        <v>1900</v>
      </c>
      <c r="Q25" s="6">
        <v>1500</v>
      </c>
      <c r="R25" s="6">
        <v>400</v>
      </c>
      <c r="S25" s="6">
        <v>450</v>
      </c>
      <c r="T25" s="6">
        <v>0.84</v>
      </c>
      <c r="U25" s="6">
        <v>25000</v>
      </c>
      <c r="V25" s="6" t="b">
        <v>1</v>
      </c>
      <c r="W25" s="6" t="s">
        <v>271</v>
      </c>
      <c r="X25" s="6">
        <v>31000</v>
      </c>
      <c r="Y25" s="6">
        <v>14000</v>
      </c>
      <c r="Z25" s="6" t="s">
        <v>104</v>
      </c>
      <c r="AA25" s="6" t="s">
        <v>93</v>
      </c>
      <c r="AB25" s="6">
        <v>0.64</v>
      </c>
      <c r="AC25" s="6">
        <v>6100</v>
      </c>
      <c r="AD25" s="6">
        <v>700</v>
      </c>
      <c r="AE25" s="6" t="s">
        <v>77</v>
      </c>
      <c r="AF25" s="6">
        <v>1100</v>
      </c>
      <c r="AG25" s="6" t="s">
        <v>78</v>
      </c>
      <c r="AH25" s="6" t="b">
        <v>0</v>
      </c>
      <c r="AI25" s="6">
        <v>1.1000000000000001</v>
      </c>
      <c r="AJ25" s="6" t="s">
        <v>272</v>
      </c>
      <c r="AK25" s="6" t="s">
        <v>95</v>
      </c>
      <c r="AL25" s="6" t="s">
        <v>273</v>
      </c>
      <c r="AM25" s="6" t="s">
        <v>82</v>
      </c>
      <c r="AN25" s="6" t="s">
        <v>274</v>
      </c>
      <c r="AO25" s="6" t="s">
        <v>253</v>
      </c>
      <c r="AP25" s="6" t="s">
        <v>85</v>
      </c>
      <c r="AQ25" s="6" t="s">
        <v>254</v>
      </c>
      <c r="AR25" s="6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92E2-0B9E-9A47-827B-56D6CA89CDCB}">
  <sheetPr>
    <tabColor rgb="FF0F766E"/>
  </sheetPr>
  <dimension ref="A1:N2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6" x14ac:dyDescent="0.2"/>
  <cols>
    <col min="1" max="1" width="13.33203125" customWidth="1"/>
    <col min="2" max="7" width="17.5" customWidth="1"/>
    <col min="8" max="9" width="15" customWidth="1"/>
    <col min="10" max="11" width="43.33203125" customWidth="1"/>
    <col min="12" max="14" width="19.1640625" customWidth="1"/>
  </cols>
  <sheetData>
    <row r="1" spans="1:14" ht="45" customHeight="1" x14ac:dyDescent="0.2">
      <c r="A1" s="7" t="s">
        <v>23</v>
      </c>
      <c r="B1" s="7" t="s">
        <v>275</v>
      </c>
      <c r="C1" s="7" t="s">
        <v>276</v>
      </c>
      <c r="D1" s="7" t="s">
        <v>277</v>
      </c>
      <c r="E1" s="7" t="s">
        <v>278</v>
      </c>
      <c r="F1" s="7" t="s">
        <v>279</v>
      </c>
      <c r="G1" s="7" t="s">
        <v>280</v>
      </c>
      <c r="H1" s="7" t="s">
        <v>281</v>
      </c>
      <c r="I1" s="7" t="s">
        <v>282</v>
      </c>
      <c r="J1" s="7" t="s">
        <v>283</v>
      </c>
      <c r="K1" s="7" t="s">
        <v>284</v>
      </c>
      <c r="L1" s="7" t="s">
        <v>285</v>
      </c>
      <c r="M1" s="7" t="s">
        <v>286</v>
      </c>
      <c r="N1" s="7" t="s">
        <v>287</v>
      </c>
    </row>
    <row r="2" spans="1:14" ht="65" customHeight="1" x14ac:dyDescent="0.2">
      <c r="A2" s="8" t="s">
        <v>67</v>
      </c>
      <c r="B2" s="9"/>
      <c r="C2" s="9"/>
      <c r="D2" s="9"/>
      <c r="E2" s="9"/>
      <c r="F2" s="9"/>
      <c r="G2" s="9"/>
      <c r="H2" s="9" t="s">
        <v>8</v>
      </c>
      <c r="I2" s="9" t="s">
        <v>8</v>
      </c>
      <c r="J2" s="9"/>
      <c r="K2" s="9"/>
      <c r="L2" s="10">
        <f>COUNT(B2:G2)</f>
        <v>0</v>
      </c>
      <c r="M2" s="10" t="str" cm="1">
        <f t="array" ref="M2">IF(AND(L2=6,MIN(B2:G2)&gt;=1,MAX(B2:G2)&lt;=5,SUMPRODUCT(--(MOD(B2:G2,1)=0))=6),"PASS","INCOMPLETE/INVALID")</f>
        <v>INCOMPLETE/INVALID</v>
      </c>
      <c r="N2" s="10" t="str">
        <f>IF(COUNTIF(B2:G2,1)+COUNTIF(B2:G2,5)=0,"PASS",IF(K2&lt;&gt;"","PASS","RATIONALE REQUIRED"))</f>
        <v>PASS</v>
      </c>
    </row>
    <row r="3" spans="1:14" ht="65" customHeight="1" x14ac:dyDescent="0.2">
      <c r="A3" s="8" t="s">
        <v>88</v>
      </c>
      <c r="B3" s="9"/>
      <c r="C3" s="9"/>
      <c r="D3" s="9"/>
      <c r="E3" s="9"/>
      <c r="F3" s="9"/>
      <c r="G3" s="9"/>
      <c r="H3" s="9" t="s">
        <v>8</v>
      </c>
      <c r="I3" s="9" t="s">
        <v>8</v>
      </c>
      <c r="J3" s="9"/>
      <c r="K3" s="9"/>
      <c r="L3" s="10">
        <f>COUNT(B3:G3)</f>
        <v>0</v>
      </c>
      <c r="M3" s="10" t="str" cm="1">
        <f t="array" ref="M3">IF(AND(L3=6,MIN(B3:G3)&gt;=1,MAX(B3:G3)&lt;=5,SUMPRODUCT(--(MOD(B3:G3,1)=0))=6),"PASS","INCOMPLETE/INVALID")</f>
        <v>INCOMPLETE/INVALID</v>
      </c>
      <c r="N3" s="10" t="str">
        <f>IF(COUNTIF(B3:G3,1)+COUNTIF(B3:G3,5)=0,"PASS",IF(K3&lt;&gt;"","PASS","RATIONALE REQUIRED"))</f>
        <v>PASS</v>
      </c>
    </row>
    <row r="4" spans="1:14" ht="65" customHeight="1" x14ac:dyDescent="0.2">
      <c r="A4" s="8" t="s">
        <v>98</v>
      </c>
      <c r="B4" s="9"/>
      <c r="C4" s="9"/>
      <c r="D4" s="9"/>
      <c r="E4" s="9"/>
      <c r="F4" s="9"/>
      <c r="G4" s="9"/>
      <c r="H4" s="9" t="s">
        <v>8</v>
      </c>
      <c r="I4" s="9" t="s">
        <v>8</v>
      </c>
      <c r="J4" s="9"/>
      <c r="K4" s="9"/>
      <c r="L4" s="10">
        <f>COUNT(B4:G4)</f>
        <v>0</v>
      </c>
      <c r="M4" s="10" t="str" cm="1">
        <f t="array" ref="M4">IF(AND(L4=6,MIN(B4:G4)&gt;=1,MAX(B4:G4)&lt;=5,SUMPRODUCT(--(MOD(B4:G4,1)=0))=6),"PASS","INCOMPLETE/INVALID")</f>
        <v>INCOMPLETE/INVALID</v>
      </c>
      <c r="N4" s="10" t="str">
        <f>IF(COUNTIF(B4:G4,1)+COUNTIF(B4:G4,5)=0,"PASS",IF(K4&lt;&gt;"","PASS","RATIONALE REQUIRED"))</f>
        <v>PASS</v>
      </c>
    </row>
    <row r="5" spans="1:14" ht="65" customHeight="1" x14ac:dyDescent="0.2">
      <c r="A5" s="8" t="s">
        <v>113</v>
      </c>
      <c r="B5" s="9"/>
      <c r="C5" s="9"/>
      <c r="D5" s="9"/>
      <c r="E5" s="9"/>
      <c r="F5" s="9"/>
      <c r="G5" s="9"/>
      <c r="H5" s="9" t="s">
        <v>8</v>
      </c>
      <c r="I5" s="9" t="s">
        <v>8</v>
      </c>
      <c r="J5" s="9"/>
      <c r="K5" s="9"/>
      <c r="L5" s="10">
        <f>COUNT(B5:G5)</f>
        <v>0</v>
      </c>
      <c r="M5" s="10" t="str" cm="1">
        <f t="array" ref="M5">IF(AND(L5=6,MIN(B5:G5)&gt;=1,MAX(B5:G5)&lt;=5,SUMPRODUCT(--(MOD(B5:G5,1)=0))=6),"PASS","INCOMPLETE/INVALID")</f>
        <v>INCOMPLETE/INVALID</v>
      </c>
      <c r="N5" s="10" t="str">
        <f>IF(COUNTIF(B5:G5,1)+COUNTIF(B5:G5,5)=0,"PASS",IF(K5&lt;&gt;"","PASS","RATIONALE REQUIRED"))</f>
        <v>PASS</v>
      </c>
    </row>
    <row r="6" spans="1:14" ht="65" customHeight="1" x14ac:dyDescent="0.2">
      <c r="A6" s="8" t="s">
        <v>129</v>
      </c>
      <c r="B6" s="9"/>
      <c r="C6" s="9"/>
      <c r="D6" s="9"/>
      <c r="E6" s="9"/>
      <c r="F6" s="9"/>
      <c r="G6" s="9"/>
      <c r="H6" s="9" t="s">
        <v>8</v>
      </c>
      <c r="I6" s="9" t="s">
        <v>8</v>
      </c>
      <c r="J6" s="9"/>
      <c r="K6" s="9"/>
      <c r="L6" s="10">
        <f>COUNT(B6:G6)</f>
        <v>0</v>
      </c>
      <c r="M6" s="10" t="str" cm="1">
        <f t="array" ref="M6">IF(AND(L6=6,MIN(B6:G6)&gt;=1,MAX(B6:G6)&lt;=5,SUMPRODUCT(--(MOD(B6:G6,1)=0))=6),"PASS","INCOMPLETE/INVALID")</f>
        <v>INCOMPLETE/INVALID</v>
      </c>
      <c r="N6" s="10" t="str">
        <f>IF(COUNTIF(B6:G6,1)+COUNTIF(B6:G6,5)=0,"PASS",IF(K6&lt;&gt;"","PASS","RATIONALE REQUIRED"))</f>
        <v>PASS</v>
      </c>
    </row>
    <row r="7" spans="1:14" ht="65" customHeight="1" x14ac:dyDescent="0.2">
      <c r="A7" s="8" t="s">
        <v>140</v>
      </c>
      <c r="B7" s="9"/>
      <c r="C7" s="9"/>
      <c r="D7" s="9"/>
      <c r="E7" s="9"/>
      <c r="F7" s="9"/>
      <c r="G7" s="9"/>
      <c r="H7" s="9" t="s">
        <v>8</v>
      </c>
      <c r="I7" s="9" t="s">
        <v>8</v>
      </c>
      <c r="J7" s="9"/>
      <c r="K7" s="9"/>
      <c r="L7" s="10">
        <f>COUNT(B7:G7)</f>
        <v>0</v>
      </c>
      <c r="M7" s="10" t="str" cm="1">
        <f t="array" ref="M7">IF(AND(L7=6,MIN(B7:G7)&gt;=1,MAX(B7:G7)&lt;=5,SUMPRODUCT(--(MOD(B7:G7,1)=0))=6),"PASS","INCOMPLETE/INVALID")</f>
        <v>INCOMPLETE/INVALID</v>
      </c>
      <c r="N7" s="10" t="str">
        <f>IF(COUNTIF(B7:G7,1)+COUNTIF(B7:G7,5)=0,"PASS",IF(K7&lt;&gt;"","PASS","RATIONALE REQUIRED"))</f>
        <v>PASS</v>
      </c>
    </row>
    <row r="8" spans="1:14" ht="65" customHeight="1" x14ac:dyDescent="0.2">
      <c r="A8" s="8" t="s">
        <v>146</v>
      </c>
      <c r="B8" s="9"/>
      <c r="C8" s="9"/>
      <c r="D8" s="9"/>
      <c r="E8" s="9"/>
      <c r="F8" s="9"/>
      <c r="G8" s="9"/>
      <c r="H8" s="9" t="s">
        <v>8</v>
      </c>
      <c r="I8" s="9" t="s">
        <v>8</v>
      </c>
      <c r="J8" s="9"/>
      <c r="K8" s="9"/>
      <c r="L8" s="10">
        <f>COUNT(B8:G8)</f>
        <v>0</v>
      </c>
      <c r="M8" s="10" t="str" cm="1">
        <f t="array" ref="M8">IF(AND(L8=6,MIN(B8:G8)&gt;=1,MAX(B8:G8)&lt;=5,SUMPRODUCT(--(MOD(B8:G8,1)=0))=6),"PASS","INCOMPLETE/INVALID")</f>
        <v>INCOMPLETE/INVALID</v>
      </c>
      <c r="N8" s="10" t="str">
        <f>IF(COUNTIF(B8:G8,1)+COUNTIF(B8:G8,5)=0,"PASS",IF(K8&lt;&gt;"","PASS","RATIONALE REQUIRED"))</f>
        <v>PASS</v>
      </c>
    </row>
    <row r="9" spans="1:14" ht="65" customHeight="1" x14ac:dyDescent="0.2">
      <c r="A9" s="8" t="s">
        <v>155</v>
      </c>
      <c r="B9" s="9"/>
      <c r="C9" s="9"/>
      <c r="D9" s="9"/>
      <c r="E9" s="9"/>
      <c r="F9" s="9"/>
      <c r="G9" s="9"/>
      <c r="H9" s="9" t="s">
        <v>8</v>
      </c>
      <c r="I9" s="9" t="s">
        <v>8</v>
      </c>
      <c r="J9" s="9"/>
      <c r="K9" s="9"/>
      <c r="L9" s="10">
        <f>COUNT(B9:G9)</f>
        <v>0</v>
      </c>
      <c r="M9" s="10" t="str" cm="1">
        <f t="array" ref="M9">IF(AND(L9=6,MIN(B9:G9)&gt;=1,MAX(B9:G9)&lt;=5,SUMPRODUCT(--(MOD(B9:G9,1)=0))=6),"PASS","INCOMPLETE/INVALID")</f>
        <v>INCOMPLETE/INVALID</v>
      </c>
      <c r="N9" s="10" t="str">
        <f>IF(COUNTIF(B9:G9,1)+COUNTIF(B9:G9,5)=0,"PASS",IF(K9&lt;&gt;"","PASS","RATIONALE REQUIRED"))</f>
        <v>PASS</v>
      </c>
    </row>
    <row r="10" spans="1:14" ht="65" customHeight="1" x14ac:dyDescent="0.2">
      <c r="A10" s="8" t="s">
        <v>162</v>
      </c>
      <c r="B10" s="9"/>
      <c r="C10" s="9"/>
      <c r="D10" s="9"/>
      <c r="E10" s="9"/>
      <c r="F10" s="9"/>
      <c r="G10" s="9"/>
      <c r="H10" s="9" t="s">
        <v>8</v>
      </c>
      <c r="I10" s="9" t="s">
        <v>8</v>
      </c>
      <c r="J10" s="9"/>
      <c r="K10" s="9"/>
      <c r="L10" s="10">
        <f>COUNT(B10:G10)</f>
        <v>0</v>
      </c>
      <c r="M10" s="10" t="str" cm="1">
        <f t="array" ref="M10">IF(AND(L10=6,MIN(B10:G10)&gt;=1,MAX(B10:G10)&lt;=5,SUMPRODUCT(--(MOD(B10:G10,1)=0))=6),"PASS","INCOMPLETE/INVALID")</f>
        <v>INCOMPLETE/INVALID</v>
      </c>
      <c r="N10" s="10" t="str">
        <f>IF(COUNTIF(B10:G10,1)+COUNTIF(B10:G10,5)=0,"PASS",IF(K10&lt;&gt;"","PASS","RATIONALE REQUIRED"))</f>
        <v>PASS</v>
      </c>
    </row>
    <row r="11" spans="1:14" ht="65" customHeight="1" x14ac:dyDescent="0.2">
      <c r="A11" s="8" t="s">
        <v>171</v>
      </c>
      <c r="B11" s="9"/>
      <c r="C11" s="9"/>
      <c r="D11" s="9"/>
      <c r="E11" s="9"/>
      <c r="F11" s="9"/>
      <c r="G11" s="9"/>
      <c r="H11" s="9" t="s">
        <v>8</v>
      </c>
      <c r="I11" s="9" t="s">
        <v>8</v>
      </c>
      <c r="J11" s="9"/>
      <c r="K11" s="9"/>
      <c r="L11" s="10">
        <f>COUNT(B11:G11)</f>
        <v>0</v>
      </c>
      <c r="M11" s="10" t="str" cm="1">
        <f t="array" ref="M11">IF(AND(L11=6,MIN(B11:G11)&gt;=1,MAX(B11:G11)&lt;=5,SUMPRODUCT(--(MOD(B11:G11,1)=0))=6),"PASS","INCOMPLETE/INVALID")</f>
        <v>INCOMPLETE/INVALID</v>
      </c>
      <c r="N11" s="10" t="str">
        <f>IF(COUNTIF(B11:G11,1)+COUNTIF(B11:G11,5)=0,"PASS",IF(K11&lt;&gt;"","PASS","RATIONALE REQUIRED"))</f>
        <v>PASS</v>
      </c>
    </row>
    <row r="12" spans="1:14" ht="65" customHeight="1" x14ac:dyDescent="0.2">
      <c r="A12" s="8" t="s">
        <v>177</v>
      </c>
      <c r="B12" s="9"/>
      <c r="C12" s="9"/>
      <c r="D12" s="9"/>
      <c r="E12" s="9"/>
      <c r="F12" s="9"/>
      <c r="G12" s="9"/>
      <c r="H12" s="9" t="s">
        <v>8</v>
      </c>
      <c r="I12" s="9" t="s">
        <v>8</v>
      </c>
      <c r="J12" s="9"/>
      <c r="K12" s="9"/>
      <c r="L12" s="10">
        <f>COUNT(B12:G12)</f>
        <v>0</v>
      </c>
      <c r="M12" s="10" t="str" cm="1">
        <f t="array" ref="M12">IF(AND(L12=6,MIN(B12:G12)&gt;=1,MAX(B12:G12)&lt;=5,SUMPRODUCT(--(MOD(B12:G12,1)=0))=6),"PASS","INCOMPLETE/INVALID")</f>
        <v>INCOMPLETE/INVALID</v>
      </c>
      <c r="N12" s="10" t="str">
        <f>IF(COUNTIF(B12:G12,1)+COUNTIF(B12:G12,5)=0,"PASS",IF(K12&lt;&gt;"","PASS","RATIONALE REQUIRED"))</f>
        <v>PASS</v>
      </c>
    </row>
    <row r="13" spans="1:14" ht="65" customHeight="1" x14ac:dyDescent="0.2">
      <c r="A13" s="8" t="s">
        <v>184</v>
      </c>
      <c r="B13" s="9"/>
      <c r="C13" s="9"/>
      <c r="D13" s="9"/>
      <c r="E13" s="9"/>
      <c r="F13" s="9"/>
      <c r="G13" s="9"/>
      <c r="H13" s="9" t="s">
        <v>8</v>
      </c>
      <c r="I13" s="9" t="s">
        <v>8</v>
      </c>
      <c r="J13" s="9"/>
      <c r="K13" s="9"/>
      <c r="L13" s="10">
        <f>COUNT(B13:G13)</f>
        <v>0</v>
      </c>
      <c r="M13" s="10" t="str" cm="1">
        <f t="array" ref="M13">IF(AND(L13=6,MIN(B13:G13)&gt;=1,MAX(B13:G13)&lt;=5,SUMPRODUCT(--(MOD(B13:G13,1)=0))=6),"PASS","INCOMPLETE/INVALID")</f>
        <v>INCOMPLETE/INVALID</v>
      </c>
      <c r="N13" s="10" t="str">
        <f>IF(COUNTIF(B13:G13,1)+COUNTIF(B13:G13,5)=0,"PASS",IF(K13&lt;&gt;"","PASS","RATIONALE REQUIRED"))</f>
        <v>PASS</v>
      </c>
    </row>
    <row r="14" spans="1:14" ht="65" customHeight="1" x14ac:dyDescent="0.2">
      <c r="A14" s="8" t="s">
        <v>190</v>
      </c>
      <c r="B14" s="9"/>
      <c r="C14" s="9"/>
      <c r="D14" s="9"/>
      <c r="E14" s="9"/>
      <c r="F14" s="9"/>
      <c r="G14" s="9"/>
      <c r="H14" s="9" t="s">
        <v>8</v>
      </c>
      <c r="I14" s="9" t="s">
        <v>8</v>
      </c>
      <c r="J14" s="9"/>
      <c r="K14" s="9"/>
      <c r="L14" s="10">
        <f>COUNT(B14:G14)</f>
        <v>0</v>
      </c>
      <c r="M14" s="10" t="str" cm="1">
        <f t="array" ref="M14">IF(AND(L14=6,MIN(B14:G14)&gt;=1,MAX(B14:G14)&lt;=5,SUMPRODUCT(--(MOD(B14:G14,1)=0))=6),"PASS","INCOMPLETE/INVALID")</f>
        <v>INCOMPLETE/INVALID</v>
      </c>
      <c r="N14" s="10" t="str">
        <f>IF(COUNTIF(B14:G14,1)+COUNTIF(B14:G14,5)=0,"PASS",IF(K14&lt;&gt;"","PASS","RATIONALE REQUIRED"))</f>
        <v>PASS</v>
      </c>
    </row>
    <row r="15" spans="1:14" ht="65" customHeight="1" x14ac:dyDescent="0.2">
      <c r="A15" s="8" t="s">
        <v>199</v>
      </c>
      <c r="B15" s="9"/>
      <c r="C15" s="9"/>
      <c r="D15" s="9"/>
      <c r="E15" s="9"/>
      <c r="F15" s="9"/>
      <c r="G15" s="9"/>
      <c r="H15" s="9" t="s">
        <v>8</v>
      </c>
      <c r="I15" s="9" t="s">
        <v>8</v>
      </c>
      <c r="J15" s="9"/>
      <c r="K15" s="9"/>
      <c r="L15" s="10">
        <f>COUNT(B15:G15)</f>
        <v>0</v>
      </c>
      <c r="M15" s="10" t="str" cm="1">
        <f t="array" ref="M15">IF(AND(L15=6,MIN(B15:G15)&gt;=1,MAX(B15:G15)&lt;=5,SUMPRODUCT(--(MOD(B15:G15,1)=0))=6),"PASS","INCOMPLETE/INVALID")</f>
        <v>INCOMPLETE/INVALID</v>
      </c>
      <c r="N15" s="10" t="str">
        <f>IF(COUNTIF(B15:G15,1)+COUNTIF(B15:G15,5)=0,"PASS",IF(K15&lt;&gt;"","PASS","RATIONALE REQUIRED"))</f>
        <v>PASS</v>
      </c>
    </row>
    <row r="16" spans="1:14" ht="65" customHeight="1" x14ac:dyDescent="0.2">
      <c r="A16" s="8" t="s">
        <v>206</v>
      </c>
      <c r="B16" s="9"/>
      <c r="C16" s="9"/>
      <c r="D16" s="9"/>
      <c r="E16" s="9"/>
      <c r="F16" s="9"/>
      <c r="G16" s="9"/>
      <c r="H16" s="9" t="s">
        <v>8</v>
      </c>
      <c r="I16" s="9" t="s">
        <v>8</v>
      </c>
      <c r="J16" s="9"/>
      <c r="K16" s="9"/>
      <c r="L16" s="10">
        <f>COUNT(B16:G16)</f>
        <v>0</v>
      </c>
      <c r="M16" s="10" t="str" cm="1">
        <f t="array" ref="M16">IF(AND(L16=6,MIN(B16:G16)&gt;=1,MAX(B16:G16)&lt;=5,SUMPRODUCT(--(MOD(B16:G16,1)=0))=6),"PASS","INCOMPLETE/INVALID")</f>
        <v>INCOMPLETE/INVALID</v>
      </c>
      <c r="N16" s="10" t="str">
        <f>IF(COUNTIF(B16:G16,1)+COUNTIF(B16:G16,5)=0,"PASS",IF(K16&lt;&gt;"","PASS","RATIONALE REQUIRED"))</f>
        <v>PASS</v>
      </c>
    </row>
    <row r="17" spans="1:14" ht="65" customHeight="1" x14ac:dyDescent="0.2">
      <c r="A17" s="8" t="s">
        <v>212</v>
      </c>
      <c r="B17" s="9"/>
      <c r="C17" s="9"/>
      <c r="D17" s="9"/>
      <c r="E17" s="9"/>
      <c r="F17" s="9"/>
      <c r="G17" s="9"/>
      <c r="H17" s="9" t="s">
        <v>8</v>
      </c>
      <c r="I17" s="9" t="s">
        <v>8</v>
      </c>
      <c r="J17" s="9"/>
      <c r="K17" s="9"/>
      <c r="L17" s="10">
        <f>COUNT(B17:G17)</f>
        <v>0</v>
      </c>
      <c r="M17" s="10" t="str" cm="1">
        <f t="array" ref="M17">IF(AND(L17=6,MIN(B17:G17)&gt;=1,MAX(B17:G17)&lt;=5,SUMPRODUCT(--(MOD(B17:G17,1)=0))=6),"PASS","INCOMPLETE/INVALID")</f>
        <v>INCOMPLETE/INVALID</v>
      </c>
      <c r="N17" s="10" t="str">
        <f>IF(COUNTIF(B17:G17,1)+COUNTIF(B17:G17,5)=0,"PASS",IF(K17&lt;&gt;"","PASS","RATIONALE REQUIRED"))</f>
        <v>PASS</v>
      </c>
    </row>
    <row r="18" spans="1:14" ht="65" customHeight="1" x14ac:dyDescent="0.2">
      <c r="A18" s="8" t="s">
        <v>218</v>
      </c>
      <c r="B18" s="9"/>
      <c r="C18" s="9"/>
      <c r="D18" s="9"/>
      <c r="E18" s="9"/>
      <c r="F18" s="9"/>
      <c r="G18" s="9"/>
      <c r="H18" s="9" t="s">
        <v>8</v>
      </c>
      <c r="I18" s="9" t="s">
        <v>8</v>
      </c>
      <c r="J18" s="9"/>
      <c r="K18" s="9"/>
      <c r="L18" s="10">
        <f>COUNT(B18:G18)</f>
        <v>0</v>
      </c>
      <c r="M18" s="10" t="str" cm="1">
        <f t="array" ref="M18">IF(AND(L18=6,MIN(B18:G18)&gt;=1,MAX(B18:G18)&lt;=5,SUMPRODUCT(--(MOD(B18:G18,1)=0))=6),"PASS","INCOMPLETE/INVALID")</f>
        <v>INCOMPLETE/INVALID</v>
      </c>
      <c r="N18" s="10" t="str">
        <f>IF(COUNTIF(B18:G18,1)+COUNTIF(B18:G18,5)=0,"PASS",IF(K18&lt;&gt;"","PASS","RATIONALE REQUIRED"))</f>
        <v>PASS</v>
      </c>
    </row>
    <row r="19" spans="1:14" ht="65" customHeight="1" x14ac:dyDescent="0.2">
      <c r="A19" s="8" t="s">
        <v>227</v>
      </c>
      <c r="B19" s="9"/>
      <c r="C19" s="9"/>
      <c r="D19" s="9"/>
      <c r="E19" s="9"/>
      <c r="F19" s="9"/>
      <c r="G19" s="9"/>
      <c r="H19" s="9" t="s">
        <v>8</v>
      </c>
      <c r="I19" s="9" t="s">
        <v>8</v>
      </c>
      <c r="J19" s="9"/>
      <c r="K19" s="9"/>
      <c r="L19" s="10">
        <f>COUNT(B19:G19)</f>
        <v>0</v>
      </c>
      <c r="M19" s="10" t="str" cm="1">
        <f t="array" ref="M19">IF(AND(L19=6,MIN(B19:G19)&gt;=1,MAX(B19:G19)&lt;=5,SUMPRODUCT(--(MOD(B19:G19,1)=0))=6),"PASS","INCOMPLETE/INVALID")</f>
        <v>INCOMPLETE/INVALID</v>
      </c>
      <c r="N19" s="10" t="str">
        <f>IF(COUNTIF(B19:G19,1)+COUNTIF(B19:G19,5)=0,"PASS",IF(K19&lt;&gt;"","PASS","RATIONALE REQUIRED"))</f>
        <v>PASS</v>
      </c>
    </row>
    <row r="20" spans="1:14" ht="65" customHeight="1" x14ac:dyDescent="0.2">
      <c r="A20" s="8" t="s">
        <v>234</v>
      </c>
      <c r="B20" s="9"/>
      <c r="C20" s="9"/>
      <c r="D20" s="9"/>
      <c r="E20" s="9"/>
      <c r="F20" s="9"/>
      <c r="G20" s="9"/>
      <c r="H20" s="9" t="s">
        <v>8</v>
      </c>
      <c r="I20" s="9" t="s">
        <v>8</v>
      </c>
      <c r="J20" s="9"/>
      <c r="K20" s="9"/>
      <c r="L20" s="10">
        <f>COUNT(B20:G20)</f>
        <v>0</v>
      </c>
      <c r="M20" s="10" t="str" cm="1">
        <f t="array" ref="M20">IF(AND(L20=6,MIN(B20:G20)&gt;=1,MAX(B20:G20)&lt;=5,SUMPRODUCT(--(MOD(B20:G20,1)=0))=6),"PASS","INCOMPLETE/INVALID")</f>
        <v>INCOMPLETE/INVALID</v>
      </c>
      <c r="N20" s="10" t="str">
        <f>IF(COUNTIF(B20:G20,1)+COUNTIF(B20:G20,5)=0,"PASS",IF(K20&lt;&gt;"","PASS","RATIONALE REQUIRED"))</f>
        <v>PASS</v>
      </c>
    </row>
    <row r="21" spans="1:14" ht="65" customHeight="1" x14ac:dyDescent="0.2">
      <c r="A21" s="8" t="s">
        <v>240</v>
      </c>
      <c r="B21" s="9"/>
      <c r="C21" s="9"/>
      <c r="D21" s="9"/>
      <c r="E21" s="9"/>
      <c r="F21" s="9"/>
      <c r="G21" s="9"/>
      <c r="H21" s="9" t="s">
        <v>8</v>
      </c>
      <c r="I21" s="9" t="s">
        <v>8</v>
      </c>
      <c r="J21" s="9"/>
      <c r="K21" s="9"/>
      <c r="L21" s="10">
        <f>COUNT(B21:G21)</f>
        <v>0</v>
      </c>
      <c r="M21" s="10" t="str" cm="1">
        <f t="array" ref="M21">IF(AND(L21=6,MIN(B21:G21)&gt;=1,MAX(B21:G21)&lt;=5,SUMPRODUCT(--(MOD(B21:G21,1)=0))=6),"PASS","INCOMPLETE/INVALID")</f>
        <v>INCOMPLETE/INVALID</v>
      </c>
      <c r="N21" s="10" t="str">
        <f>IF(COUNTIF(B21:G21,1)+COUNTIF(B21:G21,5)=0,"PASS",IF(K21&lt;&gt;"","PASS","RATIONALE REQUIRED"))</f>
        <v>PASS</v>
      </c>
    </row>
    <row r="22" spans="1:14" ht="65" customHeight="1" x14ac:dyDescent="0.2">
      <c r="A22" s="8" t="s">
        <v>246</v>
      </c>
      <c r="B22" s="9"/>
      <c r="C22" s="9"/>
      <c r="D22" s="9"/>
      <c r="E22" s="9"/>
      <c r="F22" s="9"/>
      <c r="G22" s="9"/>
      <c r="H22" s="9" t="s">
        <v>8</v>
      </c>
      <c r="I22" s="9" t="s">
        <v>8</v>
      </c>
      <c r="J22" s="9"/>
      <c r="K22" s="9"/>
      <c r="L22" s="10">
        <f>COUNT(B22:G22)</f>
        <v>0</v>
      </c>
      <c r="M22" s="10" t="str" cm="1">
        <f t="array" ref="M22">IF(AND(L22=6,MIN(B22:G22)&gt;=1,MAX(B22:G22)&lt;=5,SUMPRODUCT(--(MOD(B22:G22,1)=0))=6),"PASS","INCOMPLETE/INVALID")</f>
        <v>INCOMPLETE/INVALID</v>
      </c>
      <c r="N22" s="10" t="str">
        <f>IF(COUNTIF(B22:G22,1)+COUNTIF(B22:G22,5)=0,"PASS",IF(K22&lt;&gt;"","PASS","RATIONALE REQUIRED"))</f>
        <v>PASS</v>
      </c>
    </row>
    <row r="23" spans="1:14" ht="65" customHeight="1" x14ac:dyDescent="0.2">
      <c r="A23" s="8" t="s">
        <v>255</v>
      </c>
      <c r="B23" s="9"/>
      <c r="C23" s="9"/>
      <c r="D23" s="9"/>
      <c r="E23" s="9"/>
      <c r="F23" s="9"/>
      <c r="G23" s="9"/>
      <c r="H23" s="9" t="s">
        <v>8</v>
      </c>
      <c r="I23" s="9" t="s">
        <v>8</v>
      </c>
      <c r="J23" s="9"/>
      <c r="K23" s="9"/>
      <c r="L23" s="10">
        <f>COUNT(B23:G23)</f>
        <v>0</v>
      </c>
      <c r="M23" s="10" t="str" cm="1">
        <f t="array" ref="M23">IF(AND(L23=6,MIN(B23:G23)&gt;=1,MAX(B23:G23)&lt;=5,SUMPRODUCT(--(MOD(B23:G23,1)=0))=6),"PASS","INCOMPLETE/INVALID")</f>
        <v>INCOMPLETE/INVALID</v>
      </c>
      <c r="N23" s="10" t="str">
        <f>IF(COUNTIF(B23:G23,1)+COUNTIF(B23:G23,5)=0,"PASS",IF(K23&lt;&gt;"","PASS","RATIONALE REQUIRED"))</f>
        <v>PASS</v>
      </c>
    </row>
    <row r="24" spans="1:14" ht="65" customHeight="1" x14ac:dyDescent="0.2">
      <c r="A24" s="8" t="s">
        <v>261</v>
      </c>
      <c r="B24" s="9"/>
      <c r="C24" s="9"/>
      <c r="D24" s="9"/>
      <c r="E24" s="9"/>
      <c r="F24" s="9"/>
      <c r="G24" s="9"/>
      <c r="H24" s="9" t="s">
        <v>8</v>
      </c>
      <c r="I24" s="9" t="s">
        <v>8</v>
      </c>
      <c r="J24" s="9"/>
      <c r="K24" s="9"/>
      <c r="L24" s="10">
        <f>COUNT(B24:G24)</f>
        <v>0</v>
      </c>
      <c r="M24" s="10" t="str" cm="1">
        <f t="array" ref="M24">IF(AND(L24=6,MIN(B24:G24)&gt;=1,MAX(B24:G24)&lt;=5,SUMPRODUCT(--(MOD(B24:G24,1)=0))=6),"PASS","INCOMPLETE/INVALID")</f>
        <v>INCOMPLETE/INVALID</v>
      </c>
      <c r="N24" s="10" t="str">
        <f>IF(COUNTIF(B24:G24,1)+COUNTIF(B24:G24,5)=0,"PASS",IF(K24&lt;&gt;"","PASS","RATIONALE REQUIRED"))</f>
        <v>PASS</v>
      </c>
    </row>
    <row r="25" spans="1:14" ht="65" customHeight="1" x14ac:dyDescent="0.2">
      <c r="A25" s="8" t="s">
        <v>268</v>
      </c>
      <c r="B25" s="9"/>
      <c r="C25" s="9"/>
      <c r="D25" s="9"/>
      <c r="E25" s="9"/>
      <c r="F25" s="9"/>
      <c r="G25" s="9"/>
      <c r="H25" s="9" t="s">
        <v>8</v>
      </c>
      <c r="I25" s="9" t="s">
        <v>8</v>
      </c>
      <c r="J25" s="9"/>
      <c r="K25" s="9"/>
      <c r="L25" s="10">
        <f>COUNT(B25:G25)</f>
        <v>0</v>
      </c>
      <c r="M25" s="10" t="str" cm="1">
        <f t="array" ref="M25">IF(AND(L25=6,MIN(B25:G25)&gt;=1,MAX(B25:G25)&lt;=5,SUMPRODUCT(--(MOD(B25:G25,1)=0))=6),"PASS","INCOMPLETE/INVALID")</f>
        <v>INCOMPLETE/INVALID</v>
      </c>
      <c r="N25" s="10" t="str">
        <f>IF(COUNTIF(B25:G25,1)+COUNTIF(B25:G25,5)=0,"PASS",IF(K25&lt;&gt;"","PASS","RATIONALE REQUIRED"))</f>
        <v>PASS</v>
      </c>
    </row>
  </sheetData>
  <dataValidations count="3">
    <dataValidation type="whole" allowBlank="1" showInputMessage="1" showErrorMessage="1" sqref="B2:G25" xr:uid="{3E79A285-0E1C-2548-AB3C-A0D585CBAAB1}">
      <formula1>1</formula1>
      <formula2>5</formula2>
    </dataValidation>
    <dataValidation type="list" allowBlank="1" showInputMessage="1" showErrorMessage="1" sqref="H2:H25" xr:uid="{01CBF01D-E4D0-EB41-8E97-4D575BC32F39}">
      <formula1>"NO,YES,UNCERTAIN"</formula1>
    </dataValidation>
    <dataValidation type="list" allowBlank="1" showInputMessage="1" showErrorMessage="1" sqref="I2:I25" xr:uid="{34699F26-1D5F-374F-A70D-47AE63645FC9}">
      <formula1>"NO,YES"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FBC6-2257-2B4E-9C7D-B58AD50CC055}">
  <sheetPr>
    <tabColor rgb="FF7C3AED"/>
  </sheetPr>
  <dimension ref="A1:G11"/>
  <sheetViews>
    <sheetView showGridLines="0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24.1640625" customWidth="1"/>
    <col min="2" max="2" width="46.6640625" customWidth="1"/>
    <col min="3" max="7" width="25.83203125" customWidth="1"/>
  </cols>
  <sheetData>
    <row r="1" spans="1:7" ht="40" customHeight="1" x14ac:dyDescent="0.2">
      <c r="A1" s="11" t="s">
        <v>288</v>
      </c>
      <c r="B1" s="11" t="s">
        <v>289</v>
      </c>
      <c r="C1" s="11" t="s">
        <v>290</v>
      </c>
      <c r="D1" s="11" t="s">
        <v>291</v>
      </c>
      <c r="E1" s="11" t="s">
        <v>292</v>
      </c>
      <c r="F1" s="11" t="s">
        <v>293</v>
      </c>
      <c r="G1" s="11" t="s">
        <v>294</v>
      </c>
    </row>
    <row r="2" spans="1:7" ht="68" customHeight="1" x14ac:dyDescent="0.2">
      <c r="A2" s="4" t="s">
        <v>295</v>
      </c>
      <c r="B2" s="4" t="s">
        <v>296</v>
      </c>
      <c r="C2" s="4" t="s">
        <v>297</v>
      </c>
      <c r="D2" s="4" t="s">
        <v>298</v>
      </c>
      <c r="E2" s="4" t="s">
        <v>299</v>
      </c>
      <c r="F2" s="4" t="s">
        <v>300</v>
      </c>
      <c r="G2" s="4" t="s">
        <v>301</v>
      </c>
    </row>
    <row r="3" spans="1:7" ht="68" customHeight="1" x14ac:dyDescent="0.2">
      <c r="A3" s="4" t="s">
        <v>302</v>
      </c>
      <c r="B3" s="4" t="s">
        <v>303</v>
      </c>
      <c r="C3" s="4" t="s">
        <v>304</v>
      </c>
      <c r="D3" s="4" t="s">
        <v>305</v>
      </c>
      <c r="E3" s="4" t="s">
        <v>306</v>
      </c>
      <c r="F3" s="4" t="s">
        <v>307</v>
      </c>
      <c r="G3" s="4" t="s">
        <v>308</v>
      </c>
    </row>
    <row r="4" spans="1:7" ht="68" customHeight="1" x14ac:dyDescent="0.2">
      <c r="A4" s="4" t="s">
        <v>309</v>
      </c>
      <c r="B4" s="4" t="s">
        <v>310</v>
      </c>
      <c r="C4" s="4" t="s">
        <v>311</v>
      </c>
      <c r="D4" s="4" t="s">
        <v>312</v>
      </c>
      <c r="E4" s="4" t="s">
        <v>313</v>
      </c>
      <c r="F4" s="4" t="s">
        <v>314</v>
      </c>
      <c r="G4" s="4" t="s">
        <v>315</v>
      </c>
    </row>
    <row r="5" spans="1:7" ht="68" customHeight="1" x14ac:dyDescent="0.2">
      <c r="A5" s="4" t="s">
        <v>316</v>
      </c>
      <c r="B5" s="4" t="s">
        <v>317</v>
      </c>
      <c r="C5" s="4" t="s">
        <v>318</v>
      </c>
      <c r="D5" s="4" t="s">
        <v>319</v>
      </c>
      <c r="E5" s="4" t="s">
        <v>320</v>
      </c>
      <c r="F5" s="4" t="s">
        <v>321</v>
      </c>
      <c r="G5" s="4" t="s">
        <v>322</v>
      </c>
    </row>
    <row r="6" spans="1:7" ht="68" customHeight="1" x14ac:dyDescent="0.2">
      <c r="A6" s="4" t="s">
        <v>323</v>
      </c>
      <c r="B6" s="4" t="s">
        <v>324</v>
      </c>
      <c r="C6" s="4" t="s">
        <v>325</v>
      </c>
      <c r="D6" s="4" t="s">
        <v>326</v>
      </c>
      <c r="E6" s="4" t="s">
        <v>327</v>
      </c>
      <c r="F6" s="4" t="s">
        <v>328</v>
      </c>
      <c r="G6" s="4" t="s">
        <v>329</v>
      </c>
    </row>
    <row r="7" spans="1:7" ht="68" customHeight="1" x14ac:dyDescent="0.2">
      <c r="A7" s="4" t="s">
        <v>330</v>
      </c>
      <c r="B7" s="4" t="s">
        <v>331</v>
      </c>
      <c r="C7" s="4" t="s">
        <v>332</v>
      </c>
      <c r="D7" s="4" t="s">
        <v>333</v>
      </c>
      <c r="E7" s="4" t="s">
        <v>334</v>
      </c>
      <c r="F7" s="4" t="s">
        <v>335</v>
      </c>
      <c r="G7" s="4" t="s">
        <v>336</v>
      </c>
    </row>
    <row r="8" spans="1:7" ht="68" customHeight="1" x14ac:dyDescent="0.2">
      <c r="A8" s="12" t="s">
        <v>337</v>
      </c>
      <c r="B8" s="12" t="s">
        <v>338</v>
      </c>
      <c r="C8" s="12" t="s">
        <v>339</v>
      </c>
      <c r="D8" s="12"/>
      <c r="E8" s="12"/>
      <c r="F8" s="12"/>
      <c r="G8" s="12"/>
    </row>
    <row r="9" spans="1:7" ht="68" customHeight="1" x14ac:dyDescent="0.2">
      <c r="A9" s="4" t="s">
        <v>340</v>
      </c>
      <c r="B9" s="4" t="s">
        <v>341</v>
      </c>
      <c r="C9" s="4" t="s">
        <v>342</v>
      </c>
      <c r="D9" s="4"/>
      <c r="E9" s="4"/>
      <c r="F9" s="4"/>
      <c r="G9" s="4"/>
    </row>
    <row r="10" spans="1:7" ht="68" customHeight="1" x14ac:dyDescent="0.2">
      <c r="A10" s="4" t="s">
        <v>343</v>
      </c>
      <c r="B10" s="4" t="s">
        <v>344</v>
      </c>
      <c r="C10" s="4" t="s">
        <v>345</v>
      </c>
      <c r="D10" s="4"/>
      <c r="E10" s="4"/>
      <c r="F10" s="4"/>
      <c r="G10" s="4"/>
    </row>
    <row r="11" spans="1:7" ht="68" customHeight="1" x14ac:dyDescent="0.2">
      <c r="A11" s="4" t="s">
        <v>346</v>
      </c>
      <c r="B11" s="4" t="s">
        <v>347</v>
      </c>
      <c r="C11" s="4" t="s">
        <v>348</v>
      </c>
      <c r="D11" s="4"/>
      <c r="E11" s="4"/>
      <c r="F11" s="4"/>
      <c r="G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E22A-9002-F24F-AA7D-DA536845B413}">
  <sheetPr>
    <tabColor rgb="FFD97706"/>
  </sheetPr>
  <dimension ref="A1:E13"/>
  <sheetViews>
    <sheetView showGridLines="0" workbookViewId="0"/>
  </sheetViews>
  <sheetFormatPr baseColWidth="10" defaultRowHeight="16" x14ac:dyDescent="0.2"/>
  <cols>
    <col min="1" max="1" width="30" customWidth="1"/>
    <col min="2" max="4" width="19.1640625" customWidth="1"/>
    <col min="5" max="5" width="48.33203125" customWidth="1"/>
  </cols>
  <sheetData>
    <row r="1" spans="1:5" ht="42" customHeight="1" x14ac:dyDescent="0.2">
      <c r="A1" s="13" t="s">
        <v>349</v>
      </c>
      <c r="B1" s="13" t="s">
        <v>350</v>
      </c>
      <c r="C1" s="13" t="s">
        <v>351</v>
      </c>
      <c r="D1" s="13" t="s">
        <v>352</v>
      </c>
      <c r="E1" s="13" t="s">
        <v>17</v>
      </c>
    </row>
    <row r="2" spans="1:5" ht="42" customHeight="1" x14ac:dyDescent="0.2">
      <c r="A2" s="4" t="s">
        <v>353</v>
      </c>
      <c r="B2" s="4">
        <v>24</v>
      </c>
      <c r="C2" s="4">
        <f>COUNTA(Scores!A2:A25)</f>
        <v>24</v>
      </c>
      <c r="D2" s="4" t="str">
        <f>IF(C2=B2,"PASS","FAIL")</f>
        <v>PASS</v>
      </c>
      <c r="E2" s="4" t="s">
        <v>354</v>
      </c>
    </row>
    <row r="3" spans="1:5" ht="42" customHeight="1" x14ac:dyDescent="0.2">
      <c r="A3" s="4" t="s">
        <v>355</v>
      </c>
      <c r="B3" s="4">
        <v>24</v>
      </c>
      <c r="C3" s="4" cm="1">
        <f t="array" ref="C3">SUMPRODUCT(1/COUNTIF(Scores!A2:A25,Scores!A2:A25))</f>
        <v>24</v>
      </c>
      <c r="D3" s="4" t="str">
        <f>IF(C3=B3,"PASS","FAIL")</f>
        <v>PASS</v>
      </c>
      <c r="E3" s="4" t="s">
        <v>356</v>
      </c>
    </row>
    <row r="4" spans="1:5" ht="42" customHeight="1" x14ac:dyDescent="0.2">
      <c r="A4" s="4" t="s">
        <v>357</v>
      </c>
      <c r="B4" s="4">
        <v>144</v>
      </c>
      <c r="C4" s="4">
        <f>SUM(Scores!L2:L25)</f>
        <v>0</v>
      </c>
      <c r="D4" s="4" t="str">
        <f>IF(C4=B4,"PASS","INCOMPLETE")</f>
        <v>INCOMPLETE</v>
      </c>
      <c r="E4" s="4" t="s">
        <v>358</v>
      </c>
    </row>
    <row r="5" spans="1:5" ht="42" customHeight="1" x14ac:dyDescent="0.2">
      <c r="A5" s="4" t="s">
        <v>359</v>
      </c>
      <c r="B5" s="4">
        <v>24</v>
      </c>
      <c r="C5" s="4">
        <f>COUNTIF(Scores!M2:M25,"PASS")</f>
        <v>0</v>
      </c>
      <c r="D5" s="4" t="str">
        <f>IF(C5=B5,"PASS","INCOMPLETE/INVALID")</f>
        <v>INCOMPLETE/INVALID</v>
      </c>
      <c r="E5" s="4" t="s">
        <v>360</v>
      </c>
    </row>
    <row r="6" spans="1:5" ht="42" customHeight="1" x14ac:dyDescent="0.2">
      <c r="A6" s="4" t="s">
        <v>361</v>
      </c>
      <c r="B6" s="4">
        <v>24</v>
      </c>
      <c r="C6" s="4">
        <f>COUNTIF(Scores!N2:N25,"PASS")</f>
        <v>24</v>
      </c>
      <c r="D6" s="4" t="str">
        <f>IF(C6=B6,"PASS","RATIONALE REQUIRED")</f>
        <v>PASS</v>
      </c>
      <c r="E6" s="4" t="s">
        <v>362</v>
      </c>
    </row>
    <row r="7" spans="1:5" ht="42" customHeight="1" x14ac:dyDescent="0.2">
      <c r="A7" s="4" t="s">
        <v>3</v>
      </c>
      <c r="B7" s="4">
        <v>1</v>
      </c>
      <c r="C7" s="4">
        <f>IF('Read Me'!B3&lt;&gt;"",1,0)</f>
        <v>0</v>
      </c>
      <c r="D7" s="4" t="str">
        <f>IF(C7=B7,"PASS","INCOMPLETE")</f>
        <v>INCOMPLETE</v>
      </c>
      <c r="E7" s="4" t="s">
        <v>363</v>
      </c>
    </row>
    <row r="8" spans="1:5" ht="42" customHeight="1" x14ac:dyDescent="0.2">
      <c r="A8" s="4" t="s">
        <v>364</v>
      </c>
      <c r="B8" s="4">
        <v>1</v>
      </c>
      <c r="C8" s="4">
        <f>IF('Read Me'!B6="NO",1,0)</f>
        <v>1</v>
      </c>
      <c r="D8" s="4" t="str">
        <f>IF(C8=B8,"PASS","FAIL")</f>
        <v>PASS</v>
      </c>
      <c r="E8" s="4" t="s">
        <v>365</v>
      </c>
    </row>
    <row r="9" spans="1:5" ht="42" customHeight="1" x14ac:dyDescent="0.2">
      <c r="A9" s="4" t="s">
        <v>366</v>
      </c>
      <c r="B9" s="4">
        <v>1</v>
      </c>
      <c r="C9" s="4">
        <f>IF('Read Me'!B7="NO",1,0)</f>
        <v>1</v>
      </c>
      <c r="D9" s="4" t="str">
        <f>IF(C9=B9,"PASS","FAIL")</f>
        <v>PASS</v>
      </c>
      <c r="E9" s="4" t="s">
        <v>365</v>
      </c>
    </row>
    <row r="10" spans="1:5" ht="42" customHeight="1" x14ac:dyDescent="0.2">
      <c r="A10" s="4" t="s">
        <v>367</v>
      </c>
      <c r="B10" s="4">
        <v>1</v>
      </c>
      <c r="C10" s="4">
        <f>IF('Read Me'!B8="NO",1,0)</f>
        <v>1</v>
      </c>
      <c r="D10" s="4" t="str">
        <f>IF(C10=B10,"PASS","FAIL")</f>
        <v>PASS</v>
      </c>
      <c r="E10" s="4" t="s">
        <v>368</v>
      </c>
    </row>
    <row r="11" spans="1:5" ht="42" customHeight="1" x14ac:dyDescent="0.2">
      <c r="A11" s="4" t="s">
        <v>369</v>
      </c>
      <c r="B11" s="4">
        <v>0</v>
      </c>
      <c r="C11" s="4">
        <f>COUNTIF(Scores!H2:H25,"YES")+COUNTIF(Scores!H2:H25,"UNCERTAIN")</f>
        <v>0</v>
      </c>
      <c r="D11" s="4" t="s">
        <v>370</v>
      </c>
      <c r="E11" s="4" t="s">
        <v>371</v>
      </c>
    </row>
    <row r="12" spans="1:5" ht="42" customHeight="1" x14ac:dyDescent="0.2">
      <c r="A12" s="4" t="s">
        <v>372</v>
      </c>
      <c r="B12" s="4">
        <v>0</v>
      </c>
      <c r="C12" s="4">
        <f>COUNTIF(Scores!I2:I25,"YES")</f>
        <v>0</v>
      </c>
      <c r="D12" s="4" t="s">
        <v>370</v>
      </c>
      <c r="E12" s="4" t="s">
        <v>371</v>
      </c>
    </row>
    <row r="13" spans="1:5" ht="42" customHeight="1" x14ac:dyDescent="0.2">
      <c r="A13" s="14" t="s">
        <v>373</v>
      </c>
      <c r="B13" s="14">
        <v>9</v>
      </c>
      <c r="C13" s="14">
        <f>COUNTIF(D2:D10,"PASS")</f>
        <v>6</v>
      </c>
      <c r="D13" s="14" t="str">
        <f>IF(C13=B13,"READY","NOT READY")</f>
        <v>NOT READY</v>
      </c>
      <c r="E13" s="14" t="s">
        <v>374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Cases</vt:lpstr>
      <vt:lpstr>Scores</vt:lpstr>
      <vt:lpstr>Rubrics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Shaik, Khaja {PEP}</dc:creator>
  <cp:lastModifiedBy>Shaik, Khaja {PEP}</cp:lastModifiedBy>
  <dcterms:created xsi:type="dcterms:W3CDTF">2026-08-13T12:32:09Z</dcterms:created>
  <dcterms:modified xsi:type="dcterms:W3CDTF">2026-08-13T13:15:42Z</dcterms:modified>
</cp:coreProperties>
</file>
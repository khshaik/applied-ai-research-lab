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khaja_shaik_pepsico_com/Documents/Personal/AI/Projects/ThinkAI/storypoints-age-of-ai/"/>
    </mc:Choice>
  </mc:AlternateContent>
  <xr:revisionPtr revIDLastSave="73" documentId="8_{5CB3FC2D-0853-E344-B53D-D66726E440D3}" xr6:coauthVersionLast="47" xr6:coauthVersionMax="47" xr10:uidLastSave="{4101249C-5891-854C-8B61-11A27C9918EA}"/>
  <bookViews>
    <workbookView xWindow="6540" yWindow="4380" windowWidth="28040" windowHeight="17180" xr2:uid="{85E1A47C-0FDC-454D-B20F-72F5012AA94D}"/>
  </bookViews>
  <sheets>
    <sheet name="Gate Status" sheetId="1" r:id="rId1"/>
    <sheet name="Development Results" sheetId="2" r:id="rId2"/>
    <sheet name="Audit Blockers" sheetId="3" r:id="rId3"/>
    <sheet name="Pending Work" sheetId="4" r:id="rId4"/>
    <sheet name="Search Progress" sheetId="5" r:id="rId5"/>
    <sheet name="Parameter Regist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</calcChain>
</file>

<file path=xl/sharedStrings.xml><?xml version="1.0" encoding="utf-8"?>
<sst xmlns="http://schemas.openxmlformats.org/spreadsheetml/2006/main" count="286" uniqueCount="244">
  <si>
    <t>THINKAI 2026 — AI-era Delivery Estimation Research</t>
  </si>
  <si>
    <t>Workstream</t>
  </si>
  <si>
    <t>Status</t>
  </si>
  <si>
    <t>Evidence / Decision</t>
  </si>
  <si>
    <t>Next control</t>
  </si>
  <si>
    <t>Gate 2 novelty pivot</t>
  </si>
  <si>
    <t>Approved—conditional</t>
  </si>
  <si>
    <t>Contribution narrowed to prospective role-stage capacity forecasting beyond Story Points and HIE-compatible baselines.</t>
  </si>
  <si>
    <t>Finish executable searches and evidence map.</t>
  </si>
  <si>
    <t>Gate 3 causal/construct model</t>
  </si>
  <si>
    <t>Approved—Route B</t>
  </si>
  <si>
    <t>Role–Stage Human Touch Demand, capacity pressure, queue delay, evidence readiness, verified delivery capacity.</t>
  </si>
  <si>
    <t>Keep cognition and causal claims out of Route B.</t>
  </si>
  <si>
    <t>Gate 3B operational specification</t>
  </si>
  <si>
    <t>Complete—not validated</t>
  </si>
  <si>
    <t>Five formative drivers, four risk tiers, six gates, explicit Pass/Conditional/Fail semantics.</t>
  </si>
  <si>
    <t>Future Route A expert/content validity.</t>
  </si>
  <si>
    <t>Complete</t>
  </si>
  <si>
    <t>Locked synthetic evaluation</t>
  </si>
  <si>
    <t>Blocked—not opened</t>
  </si>
  <si>
    <t>Route A organizational validation</t>
  </si>
  <si>
    <t>Future work</t>
  </si>
  <si>
    <t>Required for human workload, construct validity, usability, causal and organizational claims.</t>
  </si>
  <si>
    <t>Prospective multi-team shadow study.</t>
  </si>
  <si>
    <t>Status summary</t>
  </si>
  <si>
    <t>Complete / approved</t>
  </si>
  <si>
    <t>Blocked / failed</t>
  </si>
  <si>
    <t>Future</t>
  </si>
  <si>
    <t>Interpretation boundary</t>
  </si>
  <si>
    <t>Synthetic mechanism evidence only; not empirical validation of human cognition, organizational delivery, or causal AI effects.</t>
  </si>
  <si>
    <t>Last updated</t>
  </si>
  <si>
    <t>Development-only Synthetic Results</t>
  </si>
  <si>
    <t>Locked evaluation seeds were not opened.</t>
  </si>
  <si>
    <t>Scenario</t>
  </si>
  <si>
    <t>Family</t>
  </si>
  <si>
    <t>Items (n)</t>
  </si>
  <si>
    <t>Story Points Brier</t>
  </si>
  <si>
    <t>HIE Brier</t>
  </si>
  <si>
    <t>Simple Role Load Brier</t>
  </si>
  <si>
    <t>Proposed Model Brier</t>
  </si>
  <si>
    <t>Best deployable model</t>
  </si>
  <si>
    <t>Interpretation</t>
  </si>
  <si>
    <t>baseline_sp</t>
  </si>
  <si>
    <t>development</t>
  </si>
  <si>
    <t>Simple role load</t>
  </si>
  <si>
    <t>Proposed model is not universally superior.</t>
  </si>
  <si>
    <t>baseline_bottleneck</t>
  </si>
  <si>
    <t>Role information helps; added readiness term does not here.</t>
  </si>
  <si>
    <t>review_capacity_low</t>
  </si>
  <si>
    <t>sensitivity</t>
  </si>
  <si>
    <t>High review pressure narrows differences.</t>
  </si>
  <si>
    <t>review_capacity_high</t>
  </si>
  <si>
    <t>Capacity relief improves completion calibration.</t>
  </si>
  <si>
    <t>load_high</t>
  </si>
  <si>
    <t>HIE-compatible</t>
  </si>
  <si>
    <t>Proposed model underperforms SP and HIE in this stress case.</t>
  </si>
  <si>
    <t>edge_severe_queue</t>
  </si>
  <si>
    <t>adversarial development</t>
  </si>
  <si>
    <t>Adversarial case rejects universal advantage.</t>
  </si>
  <si>
    <t>Parameter recovery</t>
  </si>
  <si>
    <t>Target multiplier</t>
  </si>
  <si>
    <t>Recovered multiplier</t>
  </si>
  <si>
    <t>Absolute error</t>
  </si>
  <si>
    <t>recovery_service_low</t>
  </si>
  <si>
    <t>recovery_service_high</t>
  </si>
  <si>
    <t>Run manifest checksum</t>
  </si>
  <si>
    <t>e90b6b7107db0e36dc85e3c25d252372934749d52738c3e0fad4c781ba0092f7</t>
  </si>
  <si>
    <t>Source files</t>
  </si>
  <si>
    <t>simulation/output/development/ (4 CSVs + checksummed manifest)</t>
  </si>
  <si>
    <t>Independent Audit — Hard Stop Register</t>
  </si>
  <si>
    <t>ID</t>
  </si>
  <si>
    <t>Severity</t>
  </si>
  <si>
    <t>Blocker</t>
  </si>
  <si>
    <t>Evidence / Impact</t>
  </si>
  <si>
    <t>Required remediation</t>
  </si>
  <si>
    <t>B1</t>
  </si>
  <si>
    <t>Critical</t>
  </si>
  <si>
    <t>Mandatory gate failure can complete</t>
  </si>
  <si>
    <t>B2</t>
  </si>
  <si>
    <t>Gate contract ignored</t>
  </si>
  <si>
    <t>B3</t>
  </si>
  <si>
    <t>Schema validator incomplete</t>
  </si>
  <si>
    <t>B4</t>
  </si>
  <si>
    <t>Major</t>
  </si>
  <si>
    <t>B5</t>
  </si>
  <si>
    <t>Comparator/config mismatch</t>
  </si>
  <si>
    <t>B6</t>
  </si>
  <si>
    <t>B7</t>
  </si>
  <si>
    <t>Output contract incomplete</t>
  </si>
  <si>
    <t>B8</t>
  </si>
  <si>
    <t>Default test discovery misleading</t>
  </si>
  <si>
    <t>Pending Work and Approval Gates</t>
  </si>
  <si>
    <t>Priority</t>
  </si>
  <si>
    <t>Item</t>
  </si>
  <si>
    <t>Completion gate</t>
  </si>
  <si>
    <t>Human requirement</t>
  </si>
  <si>
    <t>Fix mandatory-gate transition defect</t>
  </si>
  <si>
    <t>No</t>
  </si>
  <si>
    <t>Strengthen schema and cross-reference validation</t>
  </si>
  <si>
    <t>Define/implement minimum production DES scope</t>
  </si>
  <si>
    <t>Complete Gate 2 executable searches</t>
  </si>
  <si>
    <t>In progress</t>
  </si>
  <si>
    <t>Accountable author confirmation of citations</t>
  </si>
  <si>
    <t>Populate literature-informed parameter registry</t>
  </si>
  <si>
    <t>Accountable author confirmation</t>
  </si>
  <si>
    <t>No; agent audit is software-only</t>
  </si>
  <si>
    <t>Run locked evaluation</t>
  </si>
  <si>
    <t>Route A prospective organizational validation</t>
  </si>
  <si>
    <t>Multi-team field data and genuine expert/content validation.</t>
  </si>
  <si>
    <t>Yes—cannot be replaced by agents</t>
  </si>
  <si>
    <t>Rule</t>
  </si>
  <si>
    <t>Agents may support screening, extraction, software audit and synthetic stress testing; they cannot validate human cognitive load or organizational usefulness.</t>
  </si>
  <si>
    <t>Gate 2 Search Progress</t>
  </si>
  <si>
    <t>Pilot/query engineering only—not PRISMA eligible.</t>
  </si>
  <si>
    <t>Run</t>
  </si>
  <si>
    <t>Returned</t>
  </si>
  <si>
    <t>Depth</t>
  </si>
  <si>
    <t>Disposition</t>
  </si>
  <si>
    <t>AX-P0</t>
  </si>
  <si>
    <t>Broad precision pilot</t>
  </si>
  <si>
    <t>Precision failure; do not freeze</t>
  </si>
  <si>
    <t>AX-S3</t>
  </si>
  <si>
    <t>Story Points / effort</t>
  </si>
  <si>
    <t>Full-export candidate; sentinel test pending</t>
  </si>
  <si>
    <t>AX-S4</t>
  </si>
  <si>
    <t>Review burden</t>
  </si>
  <si>
    <t>Precise complementary family</t>
  </si>
  <si>
    <t>AX-S6</t>
  </si>
  <si>
    <t>Lifecycle delivery</t>
  </si>
  <si>
    <t>Sentinel recall failure; revise</t>
  </si>
  <si>
    <t>AX-S5</t>
  </si>
  <si>
    <t>Assurance / verification</t>
  </si>
  <si>
    <t>Split into review/testing/security</t>
  </si>
  <si>
    <t>Pending databases</t>
  </si>
  <si>
    <t>Scopus; Web of Science; IEEE Xplore; ACM DL; SpringerLink; ScienceDirect</t>
  </si>
  <si>
    <t>Next</t>
  </si>
  <si>
    <t>Literature-Informed Parameter Registry</t>
  </si>
  <si>
    <t>Evidence anchors only—not a calibrated simulation parameter set.</t>
  </si>
  <si>
    <t>Mechanism</t>
  </si>
  <si>
    <t>Class</t>
  </si>
  <si>
    <t>Source</t>
  </si>
  <si>
    <t>Permitted use</t>
  </si>
  <si>
    <t>Prohibited inference</t>
  </si>
  <si>
    <t>LP-001</t>
  </si>
  <si>
    <t>Favorable AI implementation speed</t>
  </si>
  <si>
    <t>E1/L</t>
  </si>
  <si>
    <t>Peng et al., arXiv 2302.06590</t>
  </si>
  <si>
    <t>Favorable sensitivity world</t>
  </si>
  <si>
    <t>No universal 0.442 multiplier</t>
  </si>
  <si>
    <t>LP-002</t>
  </si>
  <si>
    <t>Adverse mature-repository effect</t>
  </si>
  <si>
    <t>Becker et al., arXiv 2507.09089</t>
  </si>
  <si>
    <t>Adverse moderator world</t>
  </si>
  <si>
    <t>No universal +19%</t>
  </si>
  <si>
    <t>LP-003</t>
  </si>
  <si>
    <t>Story Point revision</t>
  </si>
  <si>
    <t>E1</t>
  </si>
  <si>
    <t>Pasuksmit et al., 10.1007/s10664-022-10192-9</t>
  </si>
  <si>
    <t>Matching OSS-style baseline</t>
  </si>
  <si>
    <t>Not an AI or gate-failure rate</t>
  </si>
  <si>
    <t>LP-004</t>
  </si>
  <si>
    <t>SP + HIE + person heterogeneity</t>
  </si>
  <si>
    <t>Alaswad et al., 10.1007/s10791-026-10331-6</t>
  </si>
  <si>
    <t>Comparator and heterogeneity design</t>
  </si>
  <si>
    <t>No lifecycle distributions</t>
  </si>
  <si>
    <t>LP-005</t>
  </si>
  <si>
    <t>Subjective workload dimensions</t>
  </si>
  <si>
    <t>Instrument</t>
  </si>
  <si>
    <t>NASA-TLX</t>
  </si>
  <si>
    <t>Future Route A criterion</t>
  </si>
  <si>
    <t>Not objective capacity/time</t>
  </si>
  <si>
    <t>LP-006</t>
  </si>
  <si>
    <t>Measurement heterogeneity</t>
  </si>
  <si>
    <t>L</t>
  </si>
  <si>
    <t>Gonçales et al., 10.1016/j.infsof.2021.106563</t>
  </si>
  <si>
    <t>Wide measurement-error sensitivity</t>
  </si>
  <si>
    <t>No workload-to-hours conversion</t>
  </si>
  <si>
    <t>LP-007</t>
  </si>
  <si>
    <t>LLM Story Point prediction</t>
  </si>
  <si>
    <t>E1 background</t>
  </si>
  <si>
    <t>Shetty et al., arXiv 2603.06276v2</t>
  </si>
  <si>
    <t>Comparator family</t>
  </si>
  <si>
    <t>Not SP construct validity</t>
  </si>
  <si>
    <t>LP-008</t>
  </si>
  <si>
    <t>AI-labelled code review time</t>
  </si>
  <si>
    <t>Candidate E1</t>
  </si>
  <si>
    <t>arXiv 2606.26505v1</t>
  </si>
  <si>
    <t>Prioritize full-text extraction</t>
  </si>
  <si>
    <t>No numeric use until verified</t>
  </si>
  <si>
    <t>Current gaps</t>
  </si>
  <si>
    <t>Role service times, gate costs/failures, rework, UAT, switching and measurement overhead remain illustrative.</t>
  </si>
  <si>
    <t>Gate 3B / Gate 4B status | Route B synthetic mechanism evaluation</t>
  </si>
  <si>
    <t>Gate 4B minimum production DES</t>
  </si>
  <si>
    <t>Complete—engineering pass</t>
  </si>
  <si>
    <t>UTC calendars/blackouts, FIFO queues, DAG dependencies, evidence lifecycle, bounded rework and four role-stage functions implemented.</t>
  </si>
  <si>
    <t>Retain production pre-lock hard stop.</t>
  </si>
  <si>
    <t>Comparator + production runner</t>
  </si>
  <si>
    <t>Five comparators; calendar-aware role-stage adapter; dual precision rules; calibration, sensitivity and immutable output contract.</t>
  </si>
  <si>
    <t>Freeze only after release controls pass.</t>
  </si>
  <si>
    <t>Development evaluation + ablations</t>
  </si>
  <si>
    <t>11 scenarios × 24 replications = 264 runs; four mechanism ablations; development outputs checksummed.</t>
  </si>
  <si>
    <t>Synthetic development evidence only.</t>
  </si>
  <si>
    <t>Independent Gate 4B audit</t>
  </si>
  <si>
    <t>All 19 engineering-testable controls pass; unified verification passes 119/119 tests.</t>
  </si>
  <si>
    <t>Production readiness remains a separate gate.</t>
  </si>
  <si>
    <t>Pre-lock returns hard_stop_not_ready; current checked-in manifest is prototype-only.</t>
  </si>
  <si>
    <t>Close eight release-readiness controls; require ready_to_open.</t>
  </si>
  <si>
    <t>Verdict: ENGINEERING PASS; production evaluation remains blocked by release-readiness controls.</t>
  </si>
  <si>
    <t>Mandatory Fail cannot advance; terminal and bounded-rework semantics have regression coverage.</t>
  </si>
  <si>
    <t>No further engineering action.</t>
  </si>
  <si>
    <t>Closed</t>
  </si>
  <si>
    <t>Allowed states, evidence/readiness, risk applicability, conditional policy, freshness, invalidation and N/A rationale enforced.</t>
  </si>
  <si>
    <t>Ranges, probabilities, durations, timestamps, references, ownership and transitions are validated.</t>
  </si>
  <si>
    <t>Minimum production mechanisms</t>
  </si>
  <si>
    <t>Frozen narrow scope implements calendars/blackouts, FIFO queues, DAG dependencies, evidence lifecycle and four role-stage functions.</t>
  </si>
  <si>
    <t>Maintain explicit exclusions and claim boundary.</t>
  </si>
  <si>
    <t>Closed—narrowed scope</t>
  </si>
  <si>
    <t>Proposed comparator consumes role-stage demand/capacity, calendar availability, readiness, rework and dependency exposure.</t>
  </si>
  <si>
    <t>Production release readiness</t>
  </si>
  <si>
    <t>Eight pre-lock controls remain open; prototype seeds are ineligible for production.</t>
  </si>
  <si>
    <t>Freeze protocol/release; independent review; externally sealed fresh seeds; runner/output readiness.</t>
  </si>
  <si>
    <t>Open—hard stop</t>
  </si>
  <si>
    <t>Dual precision, conditional sensitivity, reconciliation, checksums and fail-clean immutable publication are implemented.</t>
  </si>
  <si>
    <t>Unified test runner discovers both roots and passes 119/119 tests.</t>
  </si>
  <si>
    <t>Use simulation.test_runner as the required command.</t>
  </si>
  <si>
    <t>Regression tests prove Fail cannot advance.</t>
  </si>
  <si>
    <t>Invalid probabilities, durations, levels and references are rejected.</t>
  </si>
  <si>
    <t>All 19 engineering-testable Gate 4B controls pass.</t>
  </si>
  <si>
    <t>Unify verification and hard-stop wiring</t>
  </si>
  <si>
    <t>Unified runner passes 119/119 tests; pre-lock fails closed.</t>
  </si>
  <si>
    <t>Complete authenticated searches, exports, deduplication, evidence matrix and PRISMA reconciliation.</t>
  </si>
  <si>
    <t>Replace illustrative parameters or retain explicit sensitivity bounds with source locators.</t>
  </si>
  <si>
    <t>Independent Gate 4B agent audit</t>
  </si>
  <si>
    <t>Engineering contract passed; production release readiness remains separate.</t>
  </si>
  <si>
    <t>Freeze/register production package</t>
  </si>
  <si>
    <t>Blocked—8 controls</t>
  </si>
  <si>
    <t>Placeholder-free protocol, hashes, release, review, sealed seeds and readiness records.</t>
  </si>
  <si>
    <t>Author approval required for external registration</t>
  </si>
  <si>
    <t>Blocked—not authorized</t>
  </si>
  <si>
    <t>Pre-lock must return ready_to_open before any production seed access.</t>
  </si>
  <si>
    <t>AX-S6R</t>
  </si>
  <si>
    <t>Revised lifecycle delivery</t>
  </si>
  <si>
    <t>Sentinel recall success; full-export candidate</t>
  </si>
  <si>
    <t>Connect authenticated databases; then full pagination, exports, checksums, deduplication, agent screening/appraisal and PRISMA reconciliation.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</si>
</sst>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4" fillId="3" borderId="0" xfId="0" applyFont="1" applyFill="1"/>
    <xf numFmtId="0" fontId="4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1" fillId="5" borderId="0" xfId="0" applyFont="1" applyFill="1"/>
    <xf numFmtId="164" fontId="0" fillId="0" borderId="0" xfId="0" applyNumberFormat="1"/>
    <xf numFmtId="0" fontId="2" fillId="4" borderId="0" xfId="0" applyFont="1" applyFill="1"/>
    <xf numFmtId="0" fontId="3" fillId="6" borderId="0" xfId="0" applyFont="1" applyFill="1"/>
    <xf numFmtId="0" fontId="4" fillId="7" borderId="0" xfId="0" applyFont="1" applyFill="1"/>
    <xf numFmtId="0" fontId="5" fillId="5" borderId="0" xfId="0" applyFont="1" applyFill="1"/>
    <xf numFmtId="0" fontId="3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58C3B2-FF71-4243-84A9-2BA5A693E131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6b446ed-37a8-4ab3-85d2-6996249b28d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73C1-0C5C-B44F-8B92-3EF109C2AC3D}">
  <dimension ref="A1:G16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10" defaultRowHeight="16" x14ac:dyDescent="0.2"/>
  <cols>
    <col min="1" max="1" width="27.5" customWidth="1"/>
    <col min="2" max="2" width="20.83203125" customWidth="1"/>
    <col min="3" max="4" width="43.33203125" customWidth="1"/>
    <col min="6" max="7" width="20.83203125" customWidth="1"/>
  </cols>
  <sheetData>
    <row r="1" spans="1:7" ht="20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">
      <c r="A2" t="s">
        <v>191</v>
      </c>
    </row>
    <row r="3" spans="1:7" ht="17" thickBot="1" x14ac:dyDescent="0.25">
      <c r="A3" s="4" t="s">
        <v>1</v>
      </c>
      <c r="B3" s="4" t="s">
        <v>2</v>
      </c>
      <c r="C3" s="4" t="s">
        <v>3</v>
      </c>
      <c r="D3" s="4" t="s">
        <v>4</v>
      </c>
      <c r="F3" s="5" t="s">
        <v>24</v>
      </c>
      <c r="G3" s="8"/>
    </row>
    <row r="4" spans="1:7" x14ac:dyDescent="0.2">
      <c r="A4" t="s">
        <v>5</v>
      </c>
      <c r="B4" t="s">
        <v>6</v>
      </c>
      <c r="C4" t="s">
        <v>7</v>
      </c>
      <c r="D4" t="s">
        <v>8</v>
      </c>
      <c r="F4" s="6" t="s">
        <v>25</v>
      </c>
      <c r="G4" s="9">
        <f>COUNTIF(B4:B12,"*Complete*")+COUNTIF(B4:B12,"Approved*")</f>
        <v>7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  <c r="F5" s="6" t="s">
        <v>26</v>
      </c>
      <c r="G5" s="9">
        <f>COUNTIF(B4:B12,"*Blocked*")+COUNTIF(B4:B12,"FAIL*")</f>
        <v>1</v>
      </c>
    </row>
    <row r="6" spans="1:7" x14ac:dyDescent="0.2">
      <c r="A6" t="s">
        <v>13</v>
      </c>
      <c r="B6" t="s">
        <v>14</v>
      </c>
      <c r="C6" t="s">
        <v>15</v>
      </c>
      <c r="D6" t="s">
        <v>16</v>
      </c>
      <c r="F6" s="7" t="s">
        <v>27</v>
      </c>
      <c r="G6" s="10">
        <f>COUNTIF(B4:B12,"Future*")</f>
        <v>1</v>
      </c>
    </row>
    <row r="7" spans="1:7" x14ac:dyDescent="0.2">
      <c r="A7" t="s">
        <v>192</v>
      </c>
      <c r="B7" t="s">
        <v>193</v>
      </c>
      <c r="C7" t="s">
        <v>194</v>
      </c>
      <c r="D7" t="s">
        <v>195</v>
      </c>
    </row>
    <row r="8" spans="1:7" x14ac:dyDescent="0.2">
      <c r="A8" t="s">
        <v>196</v>
      </c>
      <c r="B8" t="s">
        <v>193</v>
      </c>
      <c r="C8" t="s">
        <v>197</v>
      </c>
      <c r="D8" t="s">
        <v>198</v>
      </c>
    </row>
    <row r="9" spans="1:7" x14ac:dyDescent="0.2">
      <c r="A9" t="s">
        <v>199</v>
      </c>
      <c r="B9" t="s">
        <v>17</v>
      </c>
      <c r="C9" t="s">
        <v>200</v>
      </c>
      <c r="D9" t="s">
        <v>201</v>
      </c>
    </row>
    <row r="10" spans="1:7" x14ac:dyDescent="0.2">
      <c r="A10" s="11" t="s">
        <v>202</v>
      </c>
      <c r="B10" s="11" t="s">
        <v>193</v>
      </c>
      <c r="C10" s="11" t="s">
        <v>203</v>
      </c>
      <c r="D10" s="11" t="s">
        <v>204</v>
      </c>
    </row>
    <row r="11" spans="1:7" x14ac:dyDescent="0.2">
      <c r="A11" s="11" t="s">
        <v>18</v>
      </c>
      <c r="B11" s="11" t="s">
        <v>19</v>
      </c>
      <c r="C11" s="11" t="s">
        <v>205</v>
      </c>
      <c r="D11" s="11" t="s">
        <v>206</v>
      </c>
    </row>
    <row r="12" spans="1:7" x14ac:dyDescent="0.2">
      <c r="A12" t="s">
        <v>20</v>
      </c>
      <c r="B12" t="s">
        <v>21</v>
      </c>
      <c r="C12" t="s">
        <v>22</v>
      </c>
      <c r="D12" t="s">
        <v>23</v>
      </c>
    </row>
    <row r="14" spans="1:7" x14ac:dyDescent="0.2">
      <c r="A14" t="s">
        <v>28</v>
      </c>
      <c r="B14" t="s">
        <v>29</v>
      </c>
    </row>
    <row r="16" spans="1:7" x14ac:dyDescent="0.2">
      <c r="A16" t="s">
        <v>30</v>
      </c>
      <c r="B16" s="1">
        <v>46248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13FE-33C4-4E40-ADA1-ED58F3FC557B}">
  <sheetPr>
    <tabColor rgb="FF4472C4"/>
  </sheetPr>
  <dimension ref="A1:I1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0.5" bestFit="1" customWidth="1"/>
    <col min="2" max="2" width="65.83203125" bestFit="1" customWidth="1"/>
    <col min="3" max="3" width="18.33203125" bestFit="1" customWidth="1"/>
    <col min="4" max="4" width="15.33203125" bestFit="1" customWidth="1"/>
    <col min="5" max="5" width="8.33203125" bestFit="1" customWidth="1"/>
    <col min="6" max="6" width="19.6640625" bestFit="1" customWidth="1"/>
    <col min="7" max="7" width="18.83203125" bestFit="1" customWidth="1"/>
    <col min="8" max="8" width="19.83203125" bestFit="1" customWidth="1"/>
    <col min="9" max="9" width="40" customWidth="1"/>
  </cols>
  <sheetData>
    <row r="1" spans="1:9" ht="20" x14ac:dyDescent="0.25">
      <c r="A1" s="2" t="s">
        <v>31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t="s">
        <v>32</v>
      </c>
    </row>
    <row r="4" spans="1:9" x14ac:dyDescent="0.2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x14ac:dyDescent="0.2">
      <c r="A5" t="s">
        <v>42</v>
      </c>
      <c r="B5" t="s">
        <v>43</v>
      </c>
      <c r="C5">
        <v>288</v>
      </c>
      <c r="D5" s="12">
        <v>1.2653095E-3</v>
      </c>
      <c r="E5" s="12">
        <v>3.0470993999999999E-3</v>
      </c>
      <c r="F5" s="12">
        <v>2.5301330000000001E-4</v>
      </c>
      <c r="G5" s="12">
        <v>3.1565750000000001E-4</v>
      </c>
      <c r="H5" t="s">
        <v>44</v>
      </c>
      <c r="I5" t="s">
        <v>45</v>
      </c>
    </row>
    <row r="6" spans="1:9" x14ac:dyDescent="0.2">
      <c r="A6" t="s">
        <v>46</v>
      </c>
      <c r="B6" t="s">
        <v>43</v>
      </c>
      <c r="C6">
        <v>288</v>
      </c>
      <c r="D6" s="12">
        <v>1.2653095E-3</v>
      </c>
      <c r="E6" s="12">
        <v>3.0470993999999999E-3</v>
      </c>
      <c r="F6" s="12">
        <v>2.5301330000000001E-4</v>
      </c>
      <c r="G6" s="12">
        <v>4.9064050000000004E-4</v>
      </c>
      <c r="H6" t="s">
        <v>44</v>
      </c>
      <c r="I6" t="s">
        <v>47</v>
      </c>
    </row>
    <row r="7" spans="1:9" x14ac:dyDescent="0.2">
      <c r="A7" t="s">
        <v>48</v>
      </c>
      <c r="B7" t="s">
        <v>49</v>
      </c>
      <c r="C7">
        <v>576</v>
      </c>
      <c r="D7" s="12">
        <v>3.1708969900000002E-2</v>
      </c>
      <c r="E7" s="12">
        <v>3.5752307499999997E-2</v>
      </c>
      <c r="F7" s="12">
        <v>3.03103661E-2</v>
      </c>
      <c r="G7" s="12">
        <v>3.06850847E-2</v>
      </c>
      <c r="H7" t="s">
        <v>44</v>
      </c>
      <c r="I7" t="s">
        <v>50</v>
      </c>
    </row>
    <row r="8" spans="1:9" x14ac:dyDescent="0.2">
      <c r="A8" t="s">
        <v>51</v>
      </c>
      <c r="B8" t="s">
        <v>49</v>
      </c>
      <c r="C8">
        <v>576</v>
      </c>
      <c r="D8" s="12">
        <v>4.7801212000000001E-3</v>
      </c>
      <c r="E8" s="12">
        <v>1.10816444E-2</v>
      </c>
      <c r="F8" s="12">
        <v>1.3932965E-3</v>
      </c>
      <c r="G8" s="12">
        <v>2.6562779000000002E-3</v>
      </c>
      <c r="H8" t="s">
        <v>44</v>
      </c>
      <c r="I8" t="s">
        <v>52</v>
      </c>
    </row>
    <row r="9" spans="1:9" x14ac:dyDescent="0.2">
      <c r="A9" t="s">
        <v>53</v>
      </c>
      <c r="B9" t="s">
        <v>49</v>
      </c>
      <c r="C9">
        <v>864</v>
      </c>
      <c r="D9" s="12">
        <v>0.37312005459999997</v>
      </c>
      <c r="E9" s="12">
        <v>0.33372002560000003</v>
      </c>
      <c r="F9" s="12">
        <v>0.40677610040000001</v>
      </c>
      <c r="G9" s="12">
        <v>0.38373016500000001</v>
      </c>
      <c r="H9" t="s">
        <v>54</v>
      </c>
      <c r="I9" t="s">
        <v>55</v>
      </c>
    </row>
    <row r="10" spans="1:9" x14ac:dyDescent="0.2">
      <c r="A10" t="s">
        <v>56</v>
      </c>
      <c r="B10" t="s">
        <v>57</v>
      </c>
      <c r="C10">
        <v>1152</v>
      </c>
      <c r="D10" s="12">
        <v>0.46755648370000003</v>
      </c>
      <c r="E10" s="12">
        <v>0.37720028859999999</v>
      </c>
      <c r="F10" s="12">
        <v>0.52287305589999999</v>
      </c>
      <c r="G10" s="12">
        <v>0.46033338530000001</v>
      </c>
      <c r="H10" t="s">
        <v>54</v>
      </c>
      <c r="I10" t="s">
        <v>58</v>
      </c>
    </row>
    <row r="12" spans="1:9" x14ac:dyDescent="0.2">
      <c r="A12" t="s">
        <v>59</v>
      </c>
    </row>
    <row r="13" spans="1:9" x14ac:dyDescent="0.2">
      <c r="A13" s="13" t="s">
        <v>33</v>
      </c>
      <c r="B13" s="13" t="s">
        <v>60</v>
      </c>
      <c r="C13" s="13" t="s">
        <v>61</v>
      </c>
      <c r="D13" s="13" t="s">
        <v>62</v>
      </c>
    </row>
    <row r="14" spans="1:9" x14ac:dyDescent="0.2">
      <c r="A14" t="s">
        <v>63</v>
      </c>
      <c r="B14">
        <v>0.75</v>
      </c>
      <c r="C14">
        <v>0.7413508083</v>
      </c>
      <c r="D14">
        <v>8.6491916999999995E-3</v>
      </c>
    </row>
    <row r="15" spans="1:9" x14ac:dyDescent="0.2">
      <c r="A15" t="s">
        <v>64</v>
      </c>
      <c r="B15">
        <v>1.75</v>
      </c>
      <c r="C15">
        <v>1.7298603088</v>
      </c>
      <c r="D15">
        <v>2.01396912E-2</v>
      </c>
    </row>
    <row r="17" spans="1:2" x14ac:dyDescent="0.2">
      <c r="A17" t="s">
        <v>65</v>
      </c>
      <c r="B17" t="s">
        <v>66</v>
      </c>
    </row>
    <row r="18" spans="1:2" x14ac:dyDescent="0.2">
      <c r="A18" t="s">
        <v>67</v>
      </c>
      <c r="B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FD2A-D738-5F4B-A450-D54839977ABF}">
  <sheetPr>
    <tabColor rgb="FFC00000"/>
  </sheetPr>
  <dimension ref="A1:F12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60.83203125" bestFit="1" customWidth="1"/>
    <col min="2" max="2" width="7.6640625" bestFit="1" customWidth="1"/>
    <col min="3" max="5" width="37.5" customWidth="1"/>
    <col min="6" max="6" width="22.5" customWidth="1"/>
  </cols>
  <sheetData>
    <row r="1" spans="1:6" ht="20" x14ac:dyDescent="0.25">
      <c r="A1" s="14" t="s">
        <v>69</v>
      </c>
      <c r="B1" s="14"/>
      <c r="C1" s="14"/>
      <c r="D1" s="14"/>
      <c r="E1" s="14"/>
      <c r="F1" s="14"/>
    </row>
    <row r="2" spans="1:6" x14ac:dyDescent="0.2">
      <c r="A2" t="s">
        <v>207</v>
      </c>
    </row>
    <row r="4" spans="1:6" x14ac:dyDescent="0.2">
      <c r="A4" s="15" t="s">
        <v>70</v>
      </c>
      <c r="B4" s="15" t="s">
        <v>71</v>
      </c>
      <c r="C4" s="15" t="s">
        <v>72</v>
      </c>
      <c r="D4" s="15" t="s">
        <v>73</v>
      </c>
      <c r="E4" s="15" t="s">
        <v>74</v>
      </c>
      <c r="F4" s="15" t="s">
        <v>2</v>
      </c>
    </row>
    <row r="5" spans="1:6" x14ac:dyDescent="0.2">
      <c r="A5" t="s">
        <v>75</v>
      </c>
      <c r="B5" t="s">
        <v>76</v>
      </c>
      <c r="C5" t="s">
        <v>77</v>
      </c>
      <c r="D5" t="s">
        <v>208</v>
      </c>
      <c r="E5" t="s">
        <v>209</v>
      </c>
      <c r="F5" s="16" t="s">
        <v>210</v>
      </c>
    </row>
    <row r="6" spans="1:6" x14ac:dyDescent="0.2">
      <c r="A6" t="s">
        <v>78</v>
      </c>
      <c r="B6" t="s">
        <v>76</v>
      </c>
      <c r="C6" t="s">
        <v>79</v>
      </c>
      <c r="D6" t="s">
        <v>211</v>
      </c>
      <c r="E6" t="s">
        <v>209</v>
      </c>
      <c r="F6" s="16" t="s">
        <v>210</v>
      </c>
    </row>
    <row r="7" spans="1:6" x14ac:dyDescent="0.2">
      <c r="A7" t="s">
        <v>80</v>
      </c>
      <c r="B7" t="s">
        <v>76</v>
      </c>
      <c r="C7" t="s">
        <v>81</v>
      </c>
      <c r="D7" t="s">
        <v>212</v>
      </c>
      <c r="E7" t="s">
        <v>209</v>
      </c>
      <c r="F7" s="16" t="s">
        <v>210</v>
      </c>
    </row>
    <row r="8" spans="1:6" x14ac:dyDescent="0.2">
      <c r="A8" t="s">
        <v>82</v>
      </c>
      <c r="B8" t="s">
        <v>83</v>
      </c>
      <c r="C8" t="s">
        <v>213</v>
      </c>
      <c r="D8" t="s">
        <v>214</v>
      </c>
      <c r="E8" t="s">
        <v>215</v>
      </c>
      <c r="F8" s="16" t="s">
        <v>216</v>
      </c>
    </row>
    <row r="9" spans="1:6" x14ac:dyDescent="0.2">
      <c r="A9" t="s">
        <v>84</v>
      </c>
      <c r="B9" t="s">
        <v>76</v>
      </c>
      <c r="C9" t="s">
        <v>85</v>
      </c>
      <c r="D9" t="s">
        <v>217</v>
      </c>
      <c r="E9" t="s">
        <v>209</v>
      </c>
      <c r="F9" s="16" t="s">
        <v>210</v>
      </c>
    </row>
    <row r="10" spans="1:6" x14ac:dyDescent="0.2">
      <c r="A10" t="s">
        <v>86</v>
      </c>
      <c r="B10" t="s">
        <v>76</v>
      </c>
      <c r="C10" t="s">
        <v>218</v>
      </c>
      <c r="D10" t="s">
        <v>219</v>
      </c>
      <c r="E10" t="s">
        <v>220</v>
      </c>
      <c r="F10" s="16" t="s">
        <v>221</v>
      </c>
    </row>
    <row r="11" spans="1:6" x14ac:dyDescent="0.2">
      <c r="A11" t="s">
        <v>87</v>
      </c>
      <c r="B11" t="s">
        <v>83</v>
      </c>
      <c r="C11" t="s">
        <v>88</v>
      </c>
      <c r="D11" t="s">
        <v>222</v>
      </c>
      <c r="E11" t="s">
        <v>209</v>
      </c>
      <c r="F11" s="16" t="s">
        <v>210</v>
      </c>
    </row>
    <row r="12" spans="1:6" x14ac:dyDescent="0.2">
      <c r="A12" t="s">
        <v>89</v>
      </c>
      <c r="B12" t="s">
        <v>83</v>
      </c>
      <c r="C12" t="s">
        <v>90</v>
      </c>
      <c r="D12" t="s">
        <v>223</v>
      </c>
      <c r="E12" t="s">
        <v>224</v>
      </c>
      <c r="F12" s="16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B291-BC0C-8140-AD9F-1C3822C8B4AC}">
  <sheetPr>
    <tabColor rgb="FFFFC000"/>
  </sheetPr>
  <dimension ref="A1:E1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9.1640625" customWidth="1"/>
    <col min="2" max="2" width="36.6640625" customWidth="1"/>
    <col min="3" max="3" width="18.33203125" customWidth="1"/>
    <col min="4" max="5" width="40" customWidth="1"/>
  </cols>
  <sheetData>
    <row r="1" spans="1:5" ht="20" x14ac:dyDescent="0.25">
      <c r="A1" s="17" t="s">
        <v>91</v>
      </c>
      <c r="B1" s="17"/>
      <c r="C1" s="17"/>
      <c r="D1" s="17"/>
      <c r="E1" s="17"/>
    </row>
    <row r="3" spans="1:5" x14ac:dyDescent="0.2">
      <c r="A3" s="18" t="s">
        <v>92</v>
      </c>
      <c r="B3" s="18" t="s">
        <v>93</v>
      </c>
      <c r="C3" s="18" t="s">
        <v>2</v>
      </c>
      <c r="D3" s="18" t="s">
        <v>94</v>
      </c>
      <c r="E3" s="18" t="s">
        <v>95</v>
      </c>
    </row>
    <row r="4" spans="1:5" x14ac:dyDescent="0.2">
      <c r="A4">
        <v>1</v>
      </c>
      <c r="B4" t="s">
        <v>96</v>
      </c>
      <c r="C4" t="s">
        <v>17</v>
      </c>
      <c r="D4" t="s">
        <v>225</v>
      </c>
      <c r="E4" t="s">
        <v>97</v>
      </c>
    </row>
    <row r="5" spans="1:5" x14ac:dyDescent="0.2">
      <c r="A5">
        <v>2</v>
      </c>
      <c r="B5" t="s">
        <v>98</v>
      </c>
      <c r="C5" t="s">
        <v>17</v>
      </c>
      <c r="D5" t="s">
        <v>226</v>
      </c>
      <c r="E5" t="s">
        <v>97</v>
      </c>
    </row>
    <row r="6" spans="1:5" x14ac:dyDescent="0.2">
      <c r="A6">
        <v>3</v>
      </c>
      <c r="B6" t="s">
        <v>99</v>
      </c>
      <c r="C6" t="s">
        <v>17</v>
      </c>
      <c r="D6" t="s">
        <v>227</v>
      </c>
      <c r="E6" t="s">
        <v>97</v>
      </c>
    </row>
    <row r="7" spans="1:5" x14ac:dyDescent="0.2">
      <c r="A7">
        <v>4</v>
      </c>
      <c r="B7" t="s">
        <v>228</v>
      </c>
      <c r="C7" t="s">
        <v>17</v>
      </c>
      <c r="D7" t="s">
        <v>229</v>
      </c>
      <c r="E7" t="s">
        <v>97</v>
      </c>
    </row>
    <row r="8" spans="1:5" x14ac:dyDescent="0.2">
      <c r="A8">
        <v>5</v>
      </c>
      <c r="B8" t="s">
        <v>100</v>
      </c>
      <c r="C8" t="s">
        <v>101</v>
      </c>
      <c r="D8" t="s">
        <v>230</v>
      </c>
      <c r="E8" t="s">
        <v>102</v>
      </c>
    </row>
    <row r="9" spans="1:5" x14ac:dyDescent="0.2">
      <c r="A9">
        <v>6</v>
      </c>
      <c r="B9" t="s">
        <v>103</v>
      </c>
      <c r="C9" t="s">
        <v>101</v>
      </c>
      <c r="D9" t="s">
        <v>231</v>
      </c>
      <c r="E9" t="s">
        <v>104</v>
      </c>
    </row>
    <row r="10" spans="1:5" x14ac:dyDescent="0.2">
      <c r="A10">
        <v>7</v>
      </c>
      <c r="B10" t="s">
        <v>232</v>
      </c>
      <c r="C10" t="s">
        <v>17</v>
      </c>
      <c r="D10" t="s">
        <v>233</v>
      </c>
      <c r="E10" t="s">
        <v>105</v>
      </c>
    </row>
    <row r="11" spans="1:5" x14ac:dyDescent="0.2">
      <c r="A11">
        <v>8</v>
      </c>
      <c r="B11" t="s">
        <v>234</v>
      </c>
      <c r="C11" s="16" t="s">
        <v>235</v>
      </c>
      <c r="D11" t="s">
        <v>236</v>
      </c>
      <c r="E11" t="s">
        <v>237</v>
      </c>
    </row>
    <row r="12" spans="1:5" x14ac:dyDescent="0.2">
      <c r="A12">
        <v>9</v>
      </c>
      <c r="B12" t="s">
        <v>106</v>
      </c>
      <c r="C12" s="16" t="s">
        <v>238</v>
      </c>
      <c r="D12" t="s">
        <v>239</v>
      </c>
      <c r="E12" t="s">
        <v>97</v>
      </c>
    </row>
    <row r="13" spans="1:5" x14ac:dyDescent="0.2">
      <c r="A13">
        <v>10</v>
      </c>
      <c r="B13" t="s">
        <v>107</v>
      </c>
      <c r="C13" t="s">
        <v>27</v>
      </c>
      <c r="D13" t="s">
        <v>108</v>
      </c>
      <c r="E13" t="s">
        <v>109</v>
      </c>
    </row>
    <row r="15" spans="1:5" x14ac:dyDescent="0.2">
      <c r="A15" t="s">
        <v>110</v>
      </c>
      <c r="B1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DED5-830F-8846-986A-2960120A39A7}">
  <sheetPr>
    <tabColor rgb="FF70AD47"/>
  </sheetPr>
  <dimension ref="A1:E12"/>
  <sheetViews>
    <sheetView workbookViewId="0"/>
  </sheetViews>
  <sheetFormatPr baseColWidth="10" defaultRowHeight="16" x14ac:dyDescent="0.2"/>
  <sheetData>
    <row r="1" spans="1:5" x14ac:dyDescent="0.2">
      <c r="A1" t="s">
        <v>112</v>
      </c>
    </row>
    <row r="2" spans="1:5" x14ac:dyDescent="0.2">
      <c r="A2" t="s">
        <v>113</v>
      </c>
    </row>
    <row r="4" spans="1:5" x14ac:dyDescent="0.2">
      <c r="A4" t="s">
        <v>114</v>
      </c>
      <c r="B4" t="s">
        <v>34</v>
      </c>
      <c r="C4" t="s">
        <v>115</v>
      </c>
      <c r="D4" t="s">
        <v>116</v>
      </c>
      <c r="E4" t="s">
        <v>117</v>
      </c>
    </row>
    <row r="5" spans="1:5" x14ac:dyDescent="0.2">
      <c r="A5" t="s">
        <v>118</v>
      </c>
      <c r="B5" t="s">
        <v>119</v>
      </c>
      <c r="C5">
        <v>643</v>
      </c>
      <c r="D5">
        <v>5</v>
      </c>
      <c r="E5" t="s">
        <v>120</v>
      </c>
    </row>
    <row r="6" spans="1:5" x14ac:dyDescent="0.2">
      <c r="A6" t="s">
        <v>121</v>
      </c>
      <c r="B6" t="s">
        <v>122</v>
      </c>
      <c r="C6">
        <v>4</v>
      </c>
      <c r="D6">
        <v>4</v>
      </c>
      <c r="E6" t="s">
        <v>123</v>
      </c>
    </row>
    <row r="7" spans="1:5" x14ac:dyDescent="0.2">
      <c r="A7" t="s">
        <v>124</v>
      </c>
      <c r="B7" t="s">
        <v>125</v>
      </c>
      <c r="C7">
        <v>4</v>
      </c>
      <c r="D7">
        <v>4</v>
      </c>
      <c r="E7" t="s">
        <v>126</v>
      </c>
    </row>
    <row r="8" spans="1:5" x14ac:dyDescent="0.2">
      <c r="A8" t="s">
        <v>127</v>
      </c>
      <c r="B8" t="s">
        <v>128</v>
      </c>
      <c r="C8">
        <v>2</v>
      </c>
      <c r="D8">
        <v>2</v>
      </c>
      <c r="E8" t="s">
        <v>129</v>
      </c>
    </row>
    <row r="9" spans="1:5" x14ac:dyDescent="0.2">
      <c r="A9" t="s">
        <v>130</v>
      </c>
      <c r="B9" t="s">
        <v>131</v>
      </c>
      <c r="C9">
        <v>142</v>
      </c>
      <c r="D9">
        <v>5</v>
      </c>
      <c r="E9" t="s">
        <v>132</v>
      </c>
    </row>
    <row r="10" spans="1:5" x14ac:dyDescent="0.2">
      <c r="A10" t="s">
        <v>240</v>
      </c>
      <c r="B10" t="s">
        <v>241</v>
      </c>
      <c r="C10">
        <v>29</v>
      </c>
      <c r="D10">
        <v>10</v>
      </c>
      <c r="E10" t="s">
        <v>242</v>
      </c>
    </row>
    <row r="11" spans="1:5" x14ac:dyDescent="0.2">
      <c r="A11" t="s">
        <v>133</v>
      </c>
      <c r="B11" t="s">
        <v>134</v>
      </c>
    </row>
    <row r="12" spans="1:5" x14ac:dyDescent="0.2">
      <c r="A12" t="s">
        <v>135</v>
      </c>
      <c r="B12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57A0-B87E-C740-A7D3-FB0089BAF54C}">
  <sheetPr>
    <tabColor rgb="FF5B9BD5"/>
  </sheetPr>
  <dimension ref="A1:F14"/>
  <sheetViews>
    <sheetView workbookViewId="0"/>
  </sheetViews>
  <sheetFormatPr baseColWidth="10" defaultRowHeight="16" x14ac:dyDescent="0.2"/>
  <sheetData>
    <row r="1" spans="1:6" x14ac:dyDescent="0.2">
      <c r="A1" t="s">
        <v>136</v>
      </c>
    </row>
    <row r="2" spans="1:6" x14ac:dyDescent="0.2">
      <c r="A2" t="s">
        <v>137</v>
      </c>
    </row>
    <row r="4" spans="1:6" x14ac:dyDescent="0.2">
      <c r="A4" t="s">
        <v>70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</row>
    <row r="5" spans="1:6" x14ac:dyDescent="0.2">
      <c r="A5" t="s">
        <v>143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</row>
    <row r="6" spans="1:6" x14ac:dyDescent="0.2">
      <c r="A6" t="s">
        <v>149</v>
      </c>
      <c r="B6" t="s">
        <v>150</v>
      </c>
      <c r="C6" t="s">
        <v>145</v>
      </c>
      <c r="D6" t="s">
        <v>151</v>
      </c>
      <c r="E6" t="s">
        <v>152</v>
      </c>
      <c r="F6" t="s">
        <v>153</v>
      </c>
    </row>
    <row r="7" spans="1:6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</row>
    <row r="8" spans="1:6" x14ac:dyDescent="0.2">
      <c r="A8" t="s">
        <v>160</v>
      </c>
      <c r="B8" t="s">
        <v>161</v>
      </c>
      <c r="C8" t="s">
        <v>156</v>
      </c>
      <c r="D8" t="s">
        <v>162</v>
      </c>
      <c r="E8" t="s">
        <v>163</v>
      </c>
      <c r="F8" t="s">
        <v>164</v>
      </c>
    </row>
    <row r="9" spans="1:6" x14ac:dyDescent="0.2">
      <c r="A9" t="s">
        <v>165</v>
      </c>
      <c r="B9" t="s">
        <v>166</v>
      </c>
      <c r="C9" t="s">
        <v>167</v>
      </c>
      <c r="D9" t="s">
        <v>168</v>
      </c>
      <c r="E9" t="s">
        <v>169</v>
      </c>
      <c r="F9" t="s">
        <v>170</v>
      </c>
    </row>
    <row r="10" spans="1:6" x14ac:dyDescent="0.2">
      <c r="A10" t="s">
        <v>171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</row>
    <row r="11" spans="1:6" x14ac:dyDescent="0.2">
      <c r="A11" t="s">
        <v>177</v>
      </c>
      <c r="B11" t="s">
        <v>178</v>
      </c>
      <c r="C11" t="s">
        <v>179</v>
      </c>
      <c r="D11" t="s">
        <v>180</v>
      </c>
      <c r="E11" t="s">
        <v>181</v>
      </c>
      <c r="F11" t="s">
        <v>182</v>
      </c>
    </row>
    <row r="12" spans="1:6" x14ac:dyDescent="0.2">
      <c r="A12" t="s">
        <v>183</v>
      </c>
      <c r="B12" t="s">
        <v>184</v>
      </c>
      <c r="C12" t="s">
        <v>185</v>
      </c>
      <c r="D12" t="s">
        <v>186</v>
      </c>
      <c r="E12" t="s">
        <v>187</v>
      </c>
      <c r="F12" t="s">
        <v>188</v>
      </c>
    </row>
    <row r="14" spans="1:6" x14ac:dyDescent="0.2">
      <c r="A14" t="s">
        <v>189</v>
      </c>
      <c r="B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Gate Status</vt:lpstr>
      <vt:lpstr>Development Results</vt:lpstr>
      <vt:lpstr>Audit Blockers</vt:lpstr>
      <vt:lpstr>Pending Work</vt:lpstr>
      <vt:lpstr>Search Progress</vt:lpstr>
      <vt:lpstr>Parameter 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Shaik, Khaja {PEP}</dc:creator>
  <cp:lastModifiedBy>Shaik, Khaja {PEP}</cp:lastModifiedBy>
  <dcterms:created xsi:type="dcterms:W3CDTF">2026-08-13T18:12:08Z</dcterms:created>
  <dcterms:modified xsi:type="dcterms:W3CDTF">2026-08-14T14:34:45Z</dcterms:modified>
</cp:coreProperties>
</file>
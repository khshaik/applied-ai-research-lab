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psico-my.sharepoint.com/personal/khaja_shaik_pepsico_com/Documents/Personal/AI/Projects/ThinkAI/storypoints-age-of-ai/"/>
    </mc:Choice>
  </mc:AlternateContent>
  <xr:revisionPtr revIDLastSave="250" documentId="8_{BCE8BE3F-ABD2-B948-A24F-5DB0E65608F7}" xr6:coauthVersionLast="47" xr6:coauthVersionMax="47" xr10:uidLastSave="{05BDB7E1-1F90-6649-B343-CEB3EEA803C2}"/>
  <bookViews>
    <workbookView xWindow="6540" yWindow="4380" windowWidth="28040" windowHeight="17180" xr2:uid="{60AD4EA9-7A33-3645-A5BF-D04A09E193E9}"/>
  </bookViews>
  <sheets>
    <sheet name="Overview" sheetId="1" r:id="rId1"/>
    <sheet name="Evidence Matrix" sheetId="2" r:id="rId2"/>
    <sheet name="Novelty Map" sheetId="3" r:id="rId3"/>
    <sheet name="Screening Log" sheetId="4" r:id="rId4"/>
    <sheet name="Search Log" sheetId="5" r:id="rId5"/>
    <sheet name="PRISMA Ledger" sheetId="6" r:id="rId6"/>
    <sheet name="Research Promp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6" l="1"/>
  <c r="D10" i="6"/>
  <c r="D9" i="6"/>
  <c r="D8" i="6"/>
  <c r="D7" i="6"/>
  <c r="D6" i="6"/>
  <c r="D5" i="6"/>
  <c r="D4" i="6"/>
  <c r="D3" i="6"/>
  <c r="D2" i="6"/>
  <c r="B11" i="1"/>
  <c r="B10" i="1"/>
  <c r="B9" i="1"/>
  <c r="B8" i="1"/>
</calcChain>
</file>

<file path=xl/sharedStrings.xml><?xml version="1.0" encoding="utf-8"?>
<sst xmlns="http://schemas.openxmlformats.org/spreadsheetml/2006/main" count="653" uniqueCount="543">
  <si>
    <t>GATE 2 — AI-ASSISTED DELIVERY RESEARCH WORKBOOK</t>
  </si>
  <si>
    <t>Project</t>
  </si>
  <si>
    <t>Human attention and verified delivery capacity in AI-assisted Agile delivery</t>
  </si>
  <si>
    <t>Gate decision</t>
  </si>
  <si>
    <t>CONDITIONAL PROCEED — mandatory novelty pivot</t>
  </si>
  <si>
    <t>Approved planning route</t>
  </si>
  <si>
    <t>Protocol status</t>
  </si>
  <si>
    <t>CONTROL SUMMARY</t>
  </si>
  <si>
    <t>VALUE</t>
  </si>
  <si>
    <t>INTERPRETATION</t>
  </si>
  <si>
    <t>Seed records</t>
  </si>
  <si>
    <t>Scoping records only; not PRISMA inclusions</t>
  </si>
  <si>
    <t>Critical/major overlap records</t>
  </si>
  <si>
    <t>Existing work constrains novelty</t>
  </si>
  <si>
    <t>Search runs logged</t>
  </si>
  <si>
    <t>Screening decisions</t>
  </si>
  <si>
    <t>Agent decisions require provenance and adjudication</t>
  </si>
  <si>
    <t>DEFENSIBLE CONTRIBUTION</t>
  </si>
  <si>
    <t>Extend task-level HIE into prospective, team-level verified-delivery capacity forecasting: pre-commitment demand across constrained roles, risk-scaled evidence readiness, and incremental out-of-sample validity over Story Points and HIE-compatible baselines.</t>
  </si>
  <si>
    <t>SIX REQUIRED DIFFERENTIATORS</t>
  </si>
  <si>
    <t>Predictors recorded before work begins; no outcome leakage</t>
  </si>
  <si>
    <t>Product, architecture, security, development, review, QA, operations and UAT capacity</t>
  </si>
  <si>
    <t>Active human touch time separated from waiting and constrained-role queue time</t>
  </si>
  <si>
    <t>Prospective multi-team or multi-program evaluation</t>
  </si>
  <si>
    <t>Out-of-sample prediction error and calibration</t>
  </si>
  <si>
    <t>Incremental-validity comparison with actual Story Points and HIE-compatible predictors</t>
  </si>
  <si>
    <t>RESEARCH CONTROL</t>
  </si>
  <si>
    <t>AI agents may screen, extract, code and critique. They cannot replace human participants, validate human cognitive load, approve ethics, or assume authorship/accountability.</t>
  </si>
  <si>
    <t>ID</t>
  </si>
  <si>
    <t>Study</t>
  </si>
  <si>
    <t>Status / type</t>
  </si>
  <si>
    <t>Unit / sample</t>
  </si>
  <si>
    <t>Verified relevant finding</t>
  </si>
  <si>
    <t>Coverage / construct</t>
  </si>
  <si>
    <t>Preliminary role</t>
  </si>
  <si>
    <t>Source URL</t>
  </si>
  <si>
    <t>M01</t>
  </si>
  <si>
    <t>Kitchenham &amp; Charters (2007), Guidelines for performing Systematic Literature Reviews in Software Engineering</t>
  </si>
  <si>
    <t>EBSE technical report/method guidance</t>
  </si>
  <si>
    <t>N/A</t>
  </si>
  <si>
    <t>Establishes auditable review planning, conduct, and reporting for software engineering</t>
  </si>
  <si>
    <t>Review method</t>
  </si>
  <si>
    <t>Method set</t>
  </si>
  <si>
    <t>https://ebse.webspace.durham.ac.uk/wp-content/uploads/sites/49/2022/08/Systematic-reviews-5-8.pdf</t>
  </si>
  <si>
    <t>M02</t>
  </si>
  <si>
    <t>Page et al. (2021), PRISMA 2020 statement</t>
  </si>
  <si>
    <t>Reporting guidance</t>
  </si>
  <si>
    <t>Provides reporting checklist and flow-diagram requirements; not itself a quality-appraisal tool</t>
  </si>
  <si>
    <t>https://www.prisma-statement.org/prisma-2020</t>
  </si>
  <si>
    <t>F01</t>
  </si>
  <si>
    <t>Forsgren et al. (2021), The SPACE of Developer Productivity</t>
  </si>
  <si>
    <t>Peer-reviewed conceptual/framework</t>
  </si>
  <si>
    <t>Multi-dimensional productivity framework</t>
  </si>
  <si>
    <t>Developer productivity cannot be represented by one activity/output measure; SPACE spans satisfaction, performance, activity, communication, efficiency/flow</t>
  </si>
  <si>
    <t>Productivity, X, flow</t>
  </si>
  <si>
    <t>Foundational comparator</t>
  </si>
  <si>
    <t>https://doi.org/10.1145/3453928</t>
  </si>
  <si>
    <t>F02</t>
  </si>
  <si>
    <t>NASA, Task Load Index</t>
  </si>
  <si>
    <t>Official measurement resource</t>
  </si>
  <si>
    <t>Six subjective workload dimensions</t>
  </si>
  <si>
    <t>NASA-TLX measures perceived mental, physical, and temporal demand, own performance, effort, and frustration; it is not an objective measure of attention capacity</t>
  </si>
  <si>
    <t>Subjective multidimensional workload</t>
  </si>
  <si>
    <t>Instrument candidate, not standalone estimator</t>
  </si>
  <si>
    <t>https://www.nasa.gov/human-systems-integration-division/nasa-task-load-index-tlx/</t>
  </si>
  <si>
    <t>F03</t>
  </si>
  <si>
    <t>Noda et al. (2023), DevEx: What Actually Drives Productivity?</t>
  </si>
  <si>
    <t>Peer-reviewed framework/empirical grounding</t>
  </si>
  <si>
    <t>Developer-experience measurement framework</t>
  </si>
  <si>
    <t>Organizes developer experience around feedback loops, cognitive load, and flow state, providing a direct comparator for claims about cognitive burden and cross-functional friction</t>
  </si>
  <si>
    <t>Developer experience, cognitive load, flow</t>
  </si>
  <si>
    <t>https://doi.org/10.1145/3610285</t>
  </si>
  <si>
    <t>F04</t>
  </si>
  <si>
    <t>Gonçales, Farias &amp; da Silva (2021), Measuring the cognitive load of software developers</t>
  </si>
  <si>
    <t>Peer-reviewed extended systematic mapping study</t>
  </si>
  <si>
    <t>63 studies</t>
  </si>
  <si>
    <t>Shows heterogeneous, methodologically immature measurement of developer cognitive load; constrains instrument selection and construct claims</t>
  </si>
  <si>
    <t>Cognitive-load measurement</t>
  </si>
  <si>
    <t>Measurement-method foundation</t>
  </si>
  <si>
    <t>https://doi.org/10.1016/j.infsof.2021.106563</t>
  </si>
  <si>
    <t>E01</t>
  </si>
  <si>
    <t>Alaswad et al. (2026), Toward LLM-aware software effort estimation: a conceptual framework</t>
  </si>
  <si>
    <t>Peer-reviewed conceptual paper</t>
  </si>
  <si>
    <t>Conceptual</t>
  </si>
  <si>
    <t>Defines Hybrid Intelligence Effort and five dimensions: reasoning complexity, context completeness, transformation impact, iterative cycles, and human oversight</t>
  </si>
  <si>
    <t>C, A, V; task effort</t>
  </si>
  <si>
    <t>Critical overlap</t>
  </si>
  <si>
    <t>https://doi.org/10.3389/frai.2026.1772418</t>
  </si>
  <si>
    <t>E02</t>
  </si>
  <si>
    <t>Alaswad et al. (2026), Hybrid intelligence effort for software effort estimation in LLM assisted development</t>
  </si>
  <si>
    <t>Peer-reviewed controlled experiment</t>
  </si>
  <si>
    <t>22 developers; 110 tasks; 3 LLMs; 330 executions</t>
  </si>
  <si>
    <t>Interaction/oversight indicators add explanatory value beyond Story Points; study excludes downstream testing automation, CI, regression, release, and longitudinal evolution</t>
  </si>
  <si>
    <t>C, A, V; task completion time</t>
  </si>
  <si>
    <t>Critical nearest predecessor</t>
  </si>
  <si>
    <t>https://doi.org/10.1007/s10791-026-10331-6</t>
  </si>
  <si>
    <t>E03</t>
  </si>
  <si>
    <t>Pasuksmit, Thongtanunam &amp; Karunasekera (2022), Story points changes in agile iterative development</t>
  </si>
  <si>
    <t>Peer-reviewed mixed-method empirical study</t>
  </si>
  <si>
    <t>19,349 work items; 7 OSS projects</t>
  </si>
  <si>
    <t>About 10% of items changed Story Points; changed values often increased substantially; information/scope changes matter</t>
  </si>
  <si>
    <t>Story Points, intent uncertainty</t>
  </si>
  <si>
    <t>Baseline estimation evidence</t>
  </si>
  <si>
    <t>https://doi.org/10.1007/s10664-022-10192-9</t>
  </si>
  <si>
    <t>E04</t>
  </si>
  <si>
    <t>Fu &amp; Tantithamthavorn (2026), Story Point Estimation Using Large Language Models</t>
  </si>
  <si>
    <t>Preprint/empirical ML study</t>
  </si>
  <si>
    <t>Project story-point datasets</t>
  </si>
  <si>
    <t>Uses LLMs to predict existing Story Points with few/no project training points; does not establish that Story Points remain the right construct</t>
  </si>
  <si>
    <t>Story Point prediction</t>
  </si>
  <si>
    <t>Background comparator</t>
  </si>
  <si>
    <t>https://arxiv.org/abs/2603.06276</t>
  </si>
  <si>
    <t>E05</t>
  </si>
  <si>
    <t>Agentic Cost Estimation Model (ACEM) (2026)</t>
  </si>
  <si>
    <t>Preprint/conceptual cost model</t>
  </si>
  <si>
    <t>Framework with illustrative application</t>
  </si>
  <si>
    <t>Models human, LLM, and infrastructure cost using context and revision factors plus a four-level HITL-intensity score; directly overlaps any scalar AI-era cost or HITL-effort proposal</t>
  </si>
  <si>
    <t>Cost, context, revision, HITL</t>
  </si>
  <si>
    <t>Critical overlap / differentiated baseline</t>
  </si>
  <si>
    <t>https://arxiv.org/abs/2608.02582</t>
  </si>
  <si>
    <t>P01</t>
  </si>
  <si>
    <t>Peng et al. (2023), The Impact of AI on Developer Productivity: Evidence from GitHub Copilot</t>
  </si>
  <si>
    <t>Controlled experiment/preprint</t>
  </si>
  <si>
    <t>95 recruited/freelance software developers; constrained JavaScript task</t>
  </si>
  <si>
    <t>Copilot group completed the task 55.8% faster; limited task/context and quality scope constrain generalization</t>
  </si>
  <si>
    <t>Implementation efficiency</t>
  </si>
  <si>
    <t>Contradictory productivity evidence</t>
  </si>
  <si>
    <t>https://arxiv.org/abs/2302.06590</t>
  </si>
  <si>
    <t>P02</t>
  </si>
  <si>
    <t>Becker et al. (2025), Measuring the Impact of Early-2025 AI on Experienced Open-Source Developer Productivity</t>
  </si>
  <si>
    <t>RCT/preprint</t>
  </si>
  <si>
    <t>16 experienced developers; 246 mature-repository tasks</t>
  </si>
  <si>
    <t>Developers expected AI to save time but observed completion time increased by 19% in this setting</t>
  </si>
  <si>
    <t>Implementation/maintenance, perception bias</t>
  </si>
  <si>
    <t>High-priority empirical evidence</t>
  </si>
  <si>
    <t>https://arxiv.org/abs/2507.09089</t>
  </si>
  <si>
    <t>P03</t>
  </si>
  <si>
    <t>Mohamed, Assi &amp; Guizani (2026), The Impact of LLM-Assistants on Software Developer Productivity: A Systematic Review and Mapping Study</t>
  </si>
  <si>
    <t>Peer-reviewed systematic review/mapping study</t>
  </si>
  <si>
    <t>39 peer-reviewed studies through 2024</t>
  </si>
  <si>
    <t>Benefits and risks are context-dependent; team-based and longitudinal evaluation is scarce; few studies cover more than three SPACE dimensions</t>
  </si>
  <si>
    <t>Productivity, cognition, team gap</t>
  </si>
  <si>
    <t>High-priority secondary review</t>
  </si>
  <si>
    <t>https://doi.org/10.1145/3809494</t>
  </si>
  <si>
    <t>P04</t>
  </si>
  <si>
    <t>Gurgul, Gubela &amp; Lessmann (2026), State of Generative AI in Software Development</t>
  </si>
  <si>
    <t>Preprint; scoping review + survey</t>
  </si>
  <si>
    <t>63 reviewed publications; 65 developers</t>
  </si>
  <si>
    <t>Reports lifecycle-wide perceived use and shift toward specification, architecture, validation, and governance; sample is developer-centric and self-reported</t>
  </si>
  <si>
    <t>I, C, A, V, Q</t>
  </si>
  <si>
    <t>Lifecycle evidence / overlap</t>
  </si>
  <si>
    <t>https://arxiv.org/abs/2603.16975</t>
  </si>
  <si>
    <t>H01</t>
  </si>
  <si>
    <t>Garousi (2026), Human Oversight and Overload</t>
  </si>
  <si>
    <t>Preprint/discussion</t>
  </si>
  <si>
    <t>Practitioner-opinion synthesis</t>
  </si>
  <si>
    <t>Frames oversight and cognitive overload as hidden costs but does not validate an estimation instrument</t>
  </si>
  <si>
    <t>V, cognitive overload</t>
  </si>
  <si>
    <t>Conceptual overlap</t>
  </si>
  <si>
    <t>https://arxiv.org/abs/2606.05770</t>
  </si>
  <si>
    <t>H02</t>
  </si>
  <si>
    <t>Gonçalves et al. (2022), Do explicit review strategies improve code review performance?</t>
  </si>
  <si>
    <t>Peer-reviewed registered-report experiment</t>
  </si>
  <si>
    <t>70 developers, predominantly novices; three review tasks</t>
  </si>
  <si>
    <t>Uses post-task perceived cognitive-load measurement; the load/performance relationship is non-monotonic, while novice-heavy sampling and low overall performance limit enterprise transfer</t>
  </si>
  <si>
    <t>V, subjective cognitive workload</t>
  </si>
  <si>
    <t>Foundational measurement/effect evidence</t>
  </si>
  <si>
    <t>https://doi.org/10.1007/s10664-022-10123-8</t>
  </si>
  <si>
    <t>H03</t>
  </si>
  <si>
    <t>Vaithilingam, Zhang &amp; Glassman (2022), Expectation vs. Experience</t>
  </si>
  <si>
    <t>Peer-reviewed within-subject study</t>
  </si>
  <si>
    <t>24 participants</t>
  </si>
  <si>
    <t>Found no necessary completion-time or success improvement despite preference for Copilot; participants experienced difficulty understanding, editing, and debugging generated code</t>
  </si>
  <si>
    <t>Comprehension, debugging, V</t>
  </si>
  <si>
    <t>Verification-attention evidence</t>
  </si>
  <si>
    <t>https://doi.org/10.1145/3491101.3519665</t>
  </si>
  <si>
    <t>H04</t>
  </si>
  <si>
    <t>Barke, James &amp; Polikarpova (2023), Grounded Copilot</t>
  </si>
  <si>
    <t>Peer-reviewed observational study</t>
  </si>
  <si>
    <t>20 programmers</t>
  </si>
  <si>
    <t>Identifies acceleration and exploration modes, supporting separation of predictable implementation assistance from solution/context exploration</t>
  </si>
  <si>
    <t>Context, interaction mode, A</t>
  </si>
  <si>
    <t>Interaction-mode evidence</t>
  </si>
  <si>
    <t>https://doi.org/10.1145/3586030</t>
  </si>
  <si>
    <t>H05</t>
  </si>
  <si>
    <t>Perry et al. (2023), Do Users Write More Insecure Code with AI Assistants?</t>
  </si>
  <si>
    <t>Peer-reviewed security experiment</t>
  </si>
  <si>
    <t>47 participants</t>
  </si>
  <si>
    <t>AI-assisted participants produced less-secure code and were more confident in it; critical prompt engagement was associated with fewer vulnerabilities</t>
  </si>
  <si>
    <t>Security, trust, V, Q</t>
  </si>
  <si>
    <t>Security-validation evidence</t>
  </si>
  <si>
    <t>https://doi.org/10.1145/3576915.3623157</t>
  </si>
  <si>
    <t>H06</t>
  </si>
  <si>
    <t>Borg et al. (2026), Echoes of AI</t>
  </si>
  <si>
    <t>Peer-reviewed preregistered two-phase experiment</t>
  </si>
  <si>
    <t>151 participants</t>
  </si>
  <si>
    <t>Found no significant downstream evolution-time or code-quality difference, providing an important null result against assuming universal maintenance burden</t>
  </si>
  <si>
    <t>Maintenance, downstream quality</t>
  </si>
  <si>
    <t>Disconfirming/null evidence</t>
  </si>
  <si>
    <t>https://doi.org/10.1007/s10664-026-10889-1</t>
  </si>
  <si>
    <t>H07</t>
  </si>
  <si>
    <t>Ziegler et al. (2024), Measuring GitHub Copilot's impact on productivity</t>
  </si>
  <si>
    <t>Peer-reviewed telemetry + survey study</t>
  </si>
  <si>
    <t>2,047 users</t>
  </si>
  <si>
    <t>Combines usage telemetry and SPACE-related survey evidence, including perceived cognitive load; useful for separating perceived from observed productivity</t>
  </si>
  <si>
    <t>Productivity, perceived workload</t>
  </si>
  <si>
    <t>Measurement comparator</t>
  </si>
  <si>
    <t>https://doi.org/10.1145/3633453</t>
  </si>
  <si>
    <t>R01</t>
  </si>
  <si>
    <t>Kamalı et al. (2026), Rethinking Code Review in the Age of AI</t>
  </si>
  <si>
    <t>Preprint/vision framework</t>
  </si>
  <si>
    <t>Review workflow framework</t>
  </si>
  <si>
    <t>Proposes five-stage agentic review with human-controlled gates; scope is PR review rather than lifecycle estimation</t>
  </si>
  <si>
    <t>V, review gates</t>
  </si>
  <si>
    <t>Framework overlap</t>
  </si>
  <si>
    <t>https://arxiv.org/abs/2605.17548</t>
  </si>
  <si>
    <t>R02</t>
  </si>
  <si>
    <t>Zhong et al. (2026), From Human-Centric to Agentic Code Review</t>
  </si>
  <si>
    <t>Preprint/large repository study</t>
  </si>
  <si>
    <t>1.02 million reviewed PRs; 207 GitHub projects</t>
  </si>
  <si>
    <t>Agent involvement is associated with faster review decisions in some adoption patterns, but speed does not automatically improve review quality</t>
  </si>
  <si>
    <t>V, review flow/quality</t>
  </si>
  <si>
    <t>High-priority empirical review evidence</t>
  </si>
  <si>
    <t>https://arxiv.org/abs/2607.13196</t>
  </si>
  <si>
    <t>Q01</t>
  </si>
  <si>
    <t>Geruslu, Aliyeva &amp; Tüzün (2026), Factors Influencing the Quality of AI-Generated Code</t>
  </si>
  <si>
    <t>Preprint/systematic review</t>
  </si>
  <si>
    <t>24 primary studies</t>
  </si>
  <si>
    <t>Code quality varies with prompt/task specification, expertise, tool, and interaction factors; validation is required</t>
  </si>
  <si>
    <t>C, V, Q</t>
  </si>
  <si>
    <t>Quality secondary review</t>
  </si>
  <si>
    <t>https://arxiv.org/abs/2603.25146</t>
  </si>
  <si>
    <t>Q02</t>
  </si>
  <si>
    <t>Liu et al. (2026), Debt Behind the AI Boom</t>
  </si>
  <si>
    <t>Preprint v2/large repository study</t>
  </si>
  <si>
    <t>302.6k verified AI-authored commits; 6,299 repositories</t>
  </si>
  <si>
    <t>More than 15% of commits for each studied assistant introduced an issue; 22.7% of tracked issues persisted to latest revision</t>
  </si>
  <si>
    <t>Q, technical debt</t>
  </si>
  <si>
    <t>Downstream-quality evidence</t>
  </si>
  <si>
    <t>https://arxiv.org/abs/2603.28592v2</t>
  </si>
  <si>
    <t>L01</t>
  </si>
  <si>
    <t>Cheng et al. (2026), Generative AI for Requirements Engineering</t>
  </si>
  <si>
    <t>Peer-reviewed systematic literature review</t>
  </si>
  <si>
    <t>238 articles, 2019–May 2025</t>
  </si>
  <si>
    <t>Highlights reproducibility, hallucination, interpretability, and weak production adoption in GenAI requirements engineering</t>
  </si>
  <si>
    <t>I, C, governance</t>
  </si>
  <si>
    <t>Requirements secondary review</t>
  </si>
  <si>
    <t>https://doi.org/10.1002/spe.70029</t>
  </si>
  <si>
    <t>L02</t>
  </si>
  <si>
    <t>Koch &amp; Wellbrock (2026), Agile V</t>
  </si>
  <si>
    <t>Preprint/framework + feasibility case</t>
  </si>
  <si>
    <t>~500 LOC; 8 requirements; 54 tests; two cycles</t>
  </si>
  <si>
    <t>Integrates requirements, design, build, test, compliance, and human approval gates; cost comparison relies partly on modeled COCOMO baseline and an author-run bounded case</t>
  </si>
  <si>
    <t>I, A, V, Q; readiness gates</t>
  </si>
  <si>
    <t>Major framework overlap; limited generalizability</t>
  </si>
  <si>
    <t>https://arxiv.org/abs/2602.20684</t>
  </si>
  <si>
    <t>L03</t>
  </si>
  <si>
    <t>Armesto &amp; Kolb (2026), Orchestrating Human-AI Software Delivery</t>
  </si>
  <si>
    <t>Preprint/retrospective field study</t>
  </si>
  <si>
    <t>3 modernization programs; 5 delivery configurations</t>
  </si>
  <si>
    <t>Provides stage-level analysis–planning–implementation–validation outcomes; distinguishes observed durations/issues from modeled effort</t>
  </si>
  <si>
    <t>Lifecycle flow, Q</t>
  </si>
  <si>
    <t>Major team/lifecycle overlap</t>
  </si>
  <si>
    <t>https://arxiv.org/abs/2603.20028</t>
  </si>
  <si>
    <t>L04</t>
  </si>
  <si>
    <t>DORA (2025), State of AI-assisted Software Development</t>
  </si>
  <si>
    <t>Official industry research report</t>
  </si>
  <si>
    <t>Cross-organizational survey/research program</t>
  </si>
  <si>
    <t>Positions AI as an amplifier of organizational strengths/weaknesses and connects AI use to team, delivery, product, and organizational outcomes</t>
  </si>
  <si>
    <t>Flow, quality, organizational context</t>
  </si>
  <si>
    <t>Practitioner/industry stream</t>
  </si>
  <si>
    <t>https://dora.dev/research/2025/dora-report/</t>
  </si>
  <si>
    <t>L05</t>
  </si>
  <si>
    <t>DORA (2025), AI Capabilities Model</t>
  </si>
  <si>
    <t>Official industry framework</t>
  </si>
  <si>
    <t>Seven organizational capabilities</t>
  </si>
  <si>
    <t>Connects AI adoption with user focus, version control, internal data, small batches, AI stance, platform quality, and data ecosystems</t>
  </si>
  <si>
    <t>Moderators, readiness</t>
  </si>
  <si>
    <t>Practitioner framework comparator</t>
  </si>
  <si>
    <t>https://dora.dev/ai/capabilities-model/report/</t>
  </si>
  <si>
    <t>G01</t>
  </si>
  <si>
    <t>Sahaj Software (2026), Observability for AI-Assisted Development</t>
  </si>
  <si>
    <t>Practitioner article</t>
  </si>
  <si>
    <t>Practitioner synthesis</t>
  </si>
  <si>
    <t>Emphasizes baselines and observable delivery/quality measures rather than perceived productivity alone</t>
  </si>
  <si>
    <t>Measurement/observability</t>
  </si>
  <si>
    <t>Practitioner stream</t>
  </si>
  <si>
    <t>https://sahaj.ai/observability-for-ai-assisted-development/</t>
  </si>
  <si>
    <t>G02</t>
  </si>
  <si>
    <t>Sahaj Software (2026), From Naive Automation to Intentional Collaboration with AI</t>
  </si>
  <si>
    <t>Practitioner case narrative</t>
  </si>
  <si>
    <t>Website/CMS delivery case</t>
  </si>
  <si>
    <t>Describes fast code output followed by design/context problems and a shift to manual baselines, bounded instructions, and iterative calibration</t>
  </si>
  <si>
    <t>C, A, V</t>
  </si>
  <si>
    <t>https://sahaj.ai/from-naive-automation-to-intentional-collaboration-with-ai/</t>
  </si>
  <si>
    <t>STUDY FAMILY</t>
  </si>
  <si>
    <t>EXISTING CONTRIBUTION</t>
  </si>
  <si>
    <t>NOVELTY CONSTRAINT</t>
  </si>
  <si>
    <t>PROSPECTIVE ESTIMATE</t>
  </si>
  <si>
    <t>MULTI-ROLE CAPACITY</t>
  </si>
  <si>
    <t>REQS–UAT</t>
  </si>
  <si>
    <t>READINESS EVIDENCE</t>
  </si>
  <si>
    <t>STORY POINT COMPARISON</t>
  </si>
  <si>
    <t>MULTI-TEAM FIELD</t>
  </si>
  <si>
    <t>OUT-OF-SAMPLE VALIDATION</t>
  </si>
  <si>
    <t>OVERLAP RISK</t>
  </si>
  <si>
    <t>REMAINING DISTINCTION</t>
  </si>
  <si>
    <t>SOURCE</t>
  </si>
  <si>
    <t>HIE conceptual framework</t>
  </si>
  <si>
    <t>Context completeness, transformation impact, interaction cycles and human oversight</t>
  </si>
  <si>
    <t>Do not claim first AI-era human-effort model</t>
  </si>
  <si>
    <t>Partial</t>
  </si>
  <si>
    <t>No</t>
  </si>
  <si>
    <t>Critical</t>
  </si>
  <si>
    <t>Prospective cross-role capacity and queueing</t>
  </si>
  <si>
    <t>HIE empirical study</t>
  </si>
  <si>
    <t>Story Point comparison with interaction/oversight indicators; 22 developers, 110 tasks, 330 executions</t>
  </si>
  <si>
    <t>Treat as nearest baseline and theoretical foundation</t>
  </si>
  <si>
    <t>Yes</t>
  </si>
  <si>
    <t>Pre-task predictors plus lifecycle and role extension</t>
  </si>
  <si>
    <t>ACEM</t>
  </si>
  <si>
    <t>Human, LLM and infrastructure costs; context/revision factors; four-level HITL intensity</t>
  </si>
  <si>
    <t>Do not claim scalar HITL/cost score as novel</t>
  </si>
  <si>
    <t>Delivery capacity, queues, quality and calibration</t>
  </si>
  <si>
    <t>Agile V</t>
  </si>
  <si>
    <t>Requirements-to-verification workflow and human approval gates</t>
  </si>
  <si>
    <t>Readiness gates alone are not novel</t>
  </si>
  <si>
    <t>High</t>
  </si>
  <si>
    <t>Couple risk-scaled gates to prospective capacity forecasts</t>
  </si>
  <si>
    <t>Human–AI delivery orchestration</t>
  </si>
  <si>
    <t>Analysis, planning, implementation, validation, flow and quality across three programs</t>
  </si>
  <si>
    <t>End-to-end coverage alone is not novel</t>
  </si>
  <si>
    <t>Prospective pre-commitment prediction and calibration</t>
  </si>
  <si>
    <t>PROPOSED ROUTE B</t>
  </si>
  <si>
    <t>Evidence map + design-science artifact + queueing/simulation</t>
  </si>
  <si>
    <t>Must be described as proposed/simulated, not human-validated</t>
  </si>
  <si>
    <t>Yes (baseline)</t>
  </si>
  <si>
    <t>Simulation / later field study</t>
  </si>
  <si>
    <t>Simulation first</t>
  </si>
  <si>
    <t>Conditional</t>
  </si>
  <si>
    <t>All six differentiators must be delivered</t>
  </si>
  <si>
    <t>RECORD ID</t>
  </si>
  <si>
    <t>STUDY-FAMILY ID</t>
  </si>
  <si>
    <t>STAGE</t>
  </si>
  <si>
    <t>AGENT 1 DECISION</t>
  </si>
  <si>
    <t>AGENT 1 REASON</t>
  </si>
  <si>
    <t>AGENT 1 CONFIDENCE</t>
  </si>
  <si>
    <t>AGENT 1 PROVENANCE</t>
  </si>
  <si>
    <t>AGENT 2 DECISION</t>
  </si>
  <si>
    <t>AGENT 2 REASON</t>
  </si>
  <si>
    <t>AGENT 2 CONFIDENCE</t>
  </si>
  <si>
    <t>AGENT 2 PROVENANCE</t>
  </si>
  <si>
    <t>CONFLICT?</t>
  </si>
  <si>
    <t>ADJUDICATED DECISION / SOURCE LOCATOR</t>
  </si>
  <si>
    <t>AUTHOR VERIFICATION</t>
  </si>
  <si>
    <t>SEARCH RUN ID</t>
  </si>
  <si>
    <t>DATE / TIME / ZONE</t>
  </si>
  <si>
    <t>OPERATOR TYPE / ID</t>
  </si>
  <si>
    <t>EVIDENCE STREAM</t>
  </si>
  <si>
    <t>DATABASE / SOURCE</t>
  </si>
  <si>
    <t>PLATFORM</t>
  </si>
  <si>
    <t>SEARCH FAMILY</t>
  </si>
  <si>
    <t>EXACT LITERAL QUERY</t>
  </si>
  <si>
    <t>FIELDS SEARCHED</t>
  </si>
  <si>
    <t>FILTERS</t>
  </si>
  <si>
    <t>RESULTS</t>
  </si>
  <si>
    <t>EXPORT / CHECKSUM</t>
  </si>
  <si>
    <t>DEVIATION ID</t>
  </si>
  <si>
    <t>NOTES</t>
  </si>
  <si>
    <t>PILOT-20260813</t>
  </si>
  <si>
    <t>2026-08-13 / Asia-Kolkata</t>
  </si>
  <si>
    <t>Coordinating AI agent</t>
  </si>
  <si>
    <t>Scoping only</t>
  </si>
  <si>
    <t>Web and primary-source discovery</t>
  </si>
  <si>
    <t>Multiple</t>
  </si>
  <si>
    <t>Pilot novelty scan</t>
  </si>
  <si>
    <t>Not eligible for systematic counts</t>
  </si>
  <si>
    <t>Varied</t>
  </si>
  <si>
    <t>Pilot only—must be rerun under frozen executable protocol</t>
  </si>
  <si>
    <t>PRISMA FLOW STAGE</t>
  </si>
  <si>
    <t>SCHOLARLY DATABASES</t>
  </si>
  <si>
    <t>OTHER METHODS / GREY</t>
  </si>
  <si>
    <t>TOTAL</t>
  </si>
  <si>
    <t>DERIVATION / QUERY</t>
  </si>
  <si>
    <t>VERIFIED BY</t>
  </si>
  <si>
    <t>DATE</t>
  </si>
  <si>
    <t>STATUS / NOTE</t>
  </si>
  <si>
    <t>Records identified</t>
  </si>
  <si>
    <t>Not populated—systematic search not started</t>
  </si>
  <si>
    <t>Duplicates removed</t>
  </si>
  <si>
    <t>Records screened</t>
  </si>
  <si>
    <t>Records excluded at title/abstract</t>
  </si>
  <si>
    <t>Reports sought</t>
  </si>
  <si>
    <t>Reports not retrieved</t>
  </si>
  <si>
    <t>Reports assessed for eligibility</t>
  </si>
  <si>
    <t>Reports excluded</t>
  </si>
  <si>
    <t>Use one E1–E10 primary reason per excluded full text</t>
  </si>
  <si>
    <t>Reports included</t>
  </si>
  <si>
    <t>Unique study families included</t>
  </si>
  <si>
    <t>Reconcile reports to study families; avoid double counting</t>
  </si>
  <si>
    <t>CONTROLLED RESEARCH-PAPER GENERATION PROMPT</t>
  </si>
  <si>
    <t>Purpose</t>
  </si>
  <si>
    <t>Source-grounded drafting assistant for THINKAI 2026; accountable authors retain responsibility.</t>
  </si>
  <si>
    <t>Research position</t>
  </si>
  <si>
    <t>Extend HIE/ACEM/Agile V/orchestration research. Do not claim that Story Points universally stopped working.</t>
  </si>
  <si>
    <t>Route B rule</t>
  </si>
  <si>
    <t>Treat evidence map, design artifact and simulation as proposed/simulated; never as validation of human cognitive load or real organizational performance.</t>
  </si>
  <si>
    <t>Novelty conditions</t>
  </si>
  <si>
    <t>Pre-task predictors; multi-role scope; touch versus queue time; prospective evaluation where possible; out-of-sample calibration; incremental Story Point + HIE comparison.</t>
  </si>
  <si>
    <t>Evidence rules</t>
  </si>
  <si>
    <t>Use approved sources only. Record study-family ID and page/section/table/figure locator. Never invent citations, samples, effects, quotations or requirements. Flag gaps as [EVIDENCE REQUIRED].</t>
  </si>
  <si>
    <t>AI accountability</t>
  </si>
  <si>
    <t>Disclose substantive AI assistance. AI is not an author, participant or ethics reviewer. Authors verify every citation, result and interpretation.</t>
  </si>
  <si>
    <t>Gate workflow</t>
  </si>
  <si>
    <t>G1 question/boundary; G2 review/novelty; G3 constructs/hypotheses; G4 design/data/analysis/ethics; G5 results/robustness; G6 discussion/limitations; G7 manuscript/compliance.</t>
  </si>
  <si>
    <t>Required gate output</t>
  </si>
  <si>
    <t>Proposed artifact; evidence/decision table; unresolved assumptions; novelty/validity risks; explicit approval question.</t>
  </si>
  <si>
    <t>First action</t>
  </si>
  <si>
    <t>Inspect approved Gate 2 artifacts and conference requirements. Return only a readiness audit and next-gate proposal; do not draft the full paper before approval.</t>
  </si>
  <si>
    <t>COPY-READY PROMPT</t>
  </si>
  <si>
    <t>You are assisting accountable human authors with a research paper for THINKAI 2026. Work as a source-grounded research analyst and drafting assistant, not as an author, participant, ethics reviewer, or source of invented evidence. Develop the paper as an extension of HIE, ACEM, Agile V, developer-productivity, and human–AI delivery-orchestration research. The candidate contribution is prospective team-level verified-delivery capacity: pre-commitment demand across constrained lifecycle roles, risk-scaled evidence readiness, and incremental out-of-sample validity over Story Points and HIE-compatible baselines for touch time, queue delay, completion probability, and quality. Use only approved evidence; trace every factual claim to a study-family and source locator; distinguish peer-reviewed, preprint, practitioner, modeled, simulated, observed, and self-reported evidence; preserve contradictory/null findings; flag unsupported claims [EVIDENCE REQUIRED]. If Route B applies, never describe simulation or agent ratings as validation of human cognition or organizational performance. Stop after each approved gate and provide the artifact, evidence table, assumptions, risks, and approval question.</t>
  </si>
  <si>
    <t>Contribution statement</t>
  </si>
  <si>
    <t>Agent-use boundary</t>
  </si>
  <si>
    <t>Route B: access-constrained systematic evidence map + design-science artifact + literature-calibrated simulation</t>
  </si>
  <si>
    <t>Draft protocol v1.2 — Open Evidence Route approved; not frozen</t>
  </si>
  <si>
    <t>Developmental query/export and access-assessment records only; systematic corpus remains zero</t>
  </si>
  <si>
    <t>Review route</t>
  </si>
  <si>
    <t>Access-constrained, AI-assisted systematic evidence map</t>
  </si>
  <si>
    <t>Executable sources</t>
  </si>
  <si>
    <t>OpenAlex; Semantic Scholar Academic Graph; Crossref REST API; arXiv</t>
  </si>
  <si>
    <t>Unavailable sources</t>
  </si>
  <si>
    <t>Scopus; Web of Science; IEEE Xplore; ACM DL; SpringerLink; ScienceDirect</t>
  </si>
  <si>
    <t>arXiv developmental exports</t>
  </si>
  <si>
    <t>Refined OpenAlex S3</t>
  </si>
  <si>
    <t>S3 precision diagnostic</t>
  </si>
  <si>
    <t>Freeze readiness</t>
  </si>
  <si>
    <t>Verification</t>
  </si>
  <si>
    <t>Next gate</t>
  </si>
  <si>
    <t>AX-S6R-RETRY1-20260814</t>
  </si>
  <si>
    <t>2026-08-14 / Asia-Kolkata</t>
  </si>
  <si>
    <t>Development pilot; excluded from PRISMA</t>
  </si>
  <si>
    <t>arXiv</t>
  </si>
  <si>
    <t>Public Atom API</t>
  </si>
  <si>
    <t>S6 revised lifecycle</t>
  </si>
  <si>
    <t>(all:"human-AI" OR all:"AI-assisted" OR all:"AI-augmented" OR all:"large language model" OR all:"coding agent") AND (all:"software delivery" OR all:"software development lifecycle" OR all:"software modernization") AND (all:orchestration OR all:workflow OR all:team OR all:validation)</t>
  </si>
  <si>
    <t>All metadata</t>
  </si>
  <si>
    <t>2019–2026; full pagination</t>
  </si>
  <si>
    <t>SHA-256 5e2b8e9e0497ec41f8095c5cc54363948572f74808222705676644eed9761051</t>
  </si>
  <si>
    <t>29/29 archived; lifecycle sentinel retrieved; not frozen</t>
  </si>
  <si>
    <t>AX-S5R-RETRY1-20260814</t>
  </si>
  <si>
    <t>S5R human review</t>
  </si>
  <si>
    <t>(all:"large language model" OR all:"AI-assisted" OR all:"AI coding assistant" OR all:"coding agent") AND (all:"code review" OR all:"pull request") AND (all:human OR all:oversight OR all:workload OR all:attention OR all:effort OR all:verification)</t>
  </si>
  <si>
    <t>SHA-256 79bc0ff650a16d5acb27fb4331940080fcf5a9533dd48856e3d96a21b90d70a6</t>
  </si>
  <si>
    <t>187/187 archived; review sentinel retrieved; not frozen</t>
  </si>
  <si>
    <t>AX-S5T-RETRY1-20260814</t>
  </si>
  <si>
    <t>S5T testing / QA</t>
  </si>
  <si>
    <t>(all:"large language model" OR all:"AI-assisted" OR all:"AI coding assistant" OR all:"coding agent") AND (all:"software testing" OR all:"test generation" OR all:"unit testing" OR all:"integration testing" OR all:"quality assurance") AND (all:human OR all:oversight OR all:verification OR all:validation OR all:effort)</t>
  </si>
  <si>
    <t>SHA-256 16de14545695bf78deb8a64e5cb2d4f50ac2171cf5402ae3e5795b7c1a6f3e84</t>
  </si>
  <si>
    <t>394/394 archived; no registered sentinel, so recall remains unvalidated</t>
  </si>
  <si>
    <t>AX-S5S-RETRY1-20260814</t>
  </si>
  <si>
    <t>S5S security assurance</t>
  </si>
  <si>
    <t>(all:"large language model" OR all:"AI-assisted" OR all:"AI coding assistant" OR all:"coding agent") AND (all:"software security" OR all:"secure coding" OR all:vulnerability OR all:"security review") AND (all:human OR all:oversight OR all:verification OR all:validation OR all:review)</t>
  </si>
  <si>
    <t>SHA-256 c7898ce9cfd57a3404a5b5b0009aa38017ccc8614120a87a2124110ccd18b58c</t>
  </si>
  <si>
    <t>1,333/1,333 archived; likely precision burden; no registered sentinel</t>
  </si>
  <si>
    <t>OA-S3-20260815-PILOT1</t>
  </si>
  <si>
    <t>2026-08-15 / Asia-Kolkata</t>
  </si>
  <si>
    <t>Retrieval agent</t>
  </si>
  <si>
    <t>OpenAlex</t>
  </si>
  <si>
    <t>Works API</t>
  </si>
  <si>
    <t>S3 v0.1</t>
  </si>
  <si>
    <t>story points software effort estimation large language models generative AI AI-assisted coding</t>
  </si>
  <si>
    <t>Search-ranked work metadata</t>
  </si>
  <si>
    <t>2019-01-01 to 2026-08-15; one-page cap</t>
  </si>
  <si>
    <t>SHA-256 c2df9a3be3860ced04d432ae0677c0af6576bc42928762dd4377a6da2f6cc845</t>
  </si>
  <si>
    <t>100 archived; API total 1,491; incomplete and too broad</t>
  </si>
  <si>
    <t>S2-S3-20260815-PILOT1</t>
  </si>
  <si>
    <t>Semantic Scholar</t>
  </si>
  <si>
    <t>Academic Graph bulk API</t>
  </si>
  <si>
    <t>story points software effort estimation large language models generative AI</t>
  </si>
  <si>
    <t>Title/abstract/metadata</t>
  </si>
  <si>
    <t>2019–2026</t>
  </si>
  <si>
    <t>SHA-256 da118472a27866223d76310bf220f45ad4fa8fc3a6daf1a9edd138d28510e292</t>
  </si>
  <si>
    <t>Valid zero response; treated as translation/recall failure, never absence evidence</t>
  </si>
  <si>
    <t>CR-S3-20260815-PILOT1</t>
  </si>
  <si>
    <t>Crossref</t>
  </si>
  <si>
    <t>REST Works API</t>
  </si>
  <si>
    <t>Bibliographic metadata</t>
  </si>
  <si>
    <t>SHA-256 eaf59e30db4f5105eb8624adb6e9a3ed99ef2e386c3c8ceca5fff81b82864888</t>
  </si>
  <si>
    <t>100 archived; API total 163,615; incomplete and too broad</t>
  </si>
  <si>
    <t>OA-S3R-20260815-PILOT1</t>
  </si>
  <si>
    <t>Retrieval + appraisal agents</t>
  </si>
  <si>
    <t>Development diagnostic; excluded from PRISMA</t>
  </si>
  <si>
    <t>S3 refined</t>
  </si>
  <si>
    <t>"software effort estimation" AND ("large language model" OR "generative AI" OR "AI-assisted")</t>
  </si>
  <si>
    <t>SHA-256 1f707c9f920150ed8b69ee23964ab875053694baa002b6f75b817c83ee68f3a8</t>
  </si>
  <si>
    <t>DEV-PROVENANCE-01</t>
  </si>
  <si>
    <t>100/134; both HIE sentinels found; appraisal 4 relevant, 15 irrelevant, 1 uncertain; freeze_ready=false; registry hash absent from run manifest</t>
  </si>
  <si>
    <t>ACCESS-ASSESS-20260815</t>
  </si>
  <si>
    <t>Protocol owner confirmation</t>
  </si>
  <si>
    <t>Access assessment; no search executed</t>
  </si>
  <si>
    <t>Six subscription sources</t>
  </si>
  <si>
    <t>Scopus; WoS; IEEE; ACM; SpringerLink; ScienceDirect</t>
  </si>
  <si>
    <t>All families</t>
  </si>
  <si>
    <t>N/A — authorized institutional access unavailable</t>
  </si>
  <si>
    <t>Assessment date 2026-08-15</t>
  </si>
  <si>
    <t>Blocked</t>
  </si>
  <si>
    <t>Recorded in protocol v1.2</t>
  </si>
  <si>
    <t>ACCESS-CONSTRAINED-01</t>
  </si>
  <si>
    <t>Open indexes are non-equivalent supplements; final coverage claim remains access-constrained</t>
  </si>
  <si>
    <t>Open indexes are non-equivalent supplements.</t>
  </si>
  <si>
    <t>Public and reproducible; source-specific queries required.</t>
  </si>
  <si>
    <t>Authentication unavailable; report as a coverage limitation.</t>
  </si>
  <si>
    <t>Query records only—not studies or PRISMA counts.</t>
  </si>
  <si>
    <t>OPEN ROUTE</t>
  </si>
  <si>
    <t>134/134 complete — S3 v0.3 accepted</t>
  </si>
  <si>
    <t>Positive and neutral/disconfirming sentinels retrieved.</t>
  </si>
  <si>
    <t>9 likely relevant; 39 likely irrelevant; 2 uncertain</t>
  </si>
  <si>
    <t>22.0% burden; compliant hash-seeded sample of 50.</t>
  </si>
  <si>
    <t>S3 queries accepted; full S1–S8 matrix and protocol freeze pending.</t>
  </si>
  <si>
    <t>171 / 171 tests passed</t>
  </si>
  <si>
    <t>Canonical runner includes unittest and pytest-style tests.</t>
  </si>
  <si>
    <t>Validate S4, then complete remaining S1–S8.</t>
  </si>
  <si>
    <t>Crossref S3 requires redesign; pilots remain outside PRISMA.</t>
  </si>
  <si>
    <t>OA-S3R3-20260815-PILOT1</t>
  </si>
  <si>
    <t>Development query acceptance; excluded from PRISMA</t>
  </si>
  <si>
    <t>S3 v0.3</t>
  </si>
  <si>
    <t>2019-01-01 to 2026-08-15; complete cursor pagination</t>
  </si>
  <si>
    <t>SHA-256 a0a7d827b2e542babd61df035288fdabb73410a318bb7f66c149c42cda869b12</t>
  </si>
  <si>
    <t>S3-V03-ACCEPT-01</t>
  </si>
  <si>
    <t>134/134; required sentinel classes retrieved; hash-seeded sample 9 relevant, 39 irrelevant, 2 uncertain; freeze_ready=true</t>
  </si>
  <si>
    <t>S2-S3R3-20260815-PILOT1</t>
  </si>
  <si>
    <t>+("software effort estimation" | "story point estimation") +("large language model" | LLM | "generative AI")</t>
  </si>
  <si>
    <t>2019-01-01 to 2026-08-15; complete pagination</t>
  </si>
  <si>
    <t>SHA-256 b34bf698cf0ede5fd66f350d4be2d18c832ff5f46523003979acd7fdc7b0fe53</t>
  </si>
  <si>
    <t>S3-V03-ACCEPT-02</t>
  </si>
  <si>
    <t>15/15; 14 relevant, 1 irrelevant; positive and neutral/disconfirming sentinel recall passed; freeze_ready=true</t>
  </si>
  <si>
    <t>CR-S3R-20260815-PILOT2</t>
  </si>
  <si>
    <t>S3 v0.2</t>
  </si>
  <si>
    <t>LLM-aware software effort estimation story point estimation human oversight</t>
  </si>
  <si>
    <t>2019-01-01 to 2026-08-15; one-page safety cap</t>
  </si>
  <si>
    <t>SHA-256 ea8fef3b0c7700ff898e0bff1b159edd97285c043be322ad68a2530731ea029f</t>
  </si>
  <si>
    <t>QUERY-REDESIGN-01</t>
  </si>
  <si>
    <t>100 archived; API total 263,416; translation is over-broad and must be redesigned before complete retrieval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</si>
</sst>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1F1F1F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9C0006"/>
      <name val="Aptos Narrow"/>
      <scheme val="minor"/>
    </font>
    <font>
      <sz val="10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FFC7C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1F4E78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5" borderId="0" xfId="0" applyFont="1" applyFill="1" applyAlignment="1">
      <alignment wrapText="1"/>
    </xf>
    <xf numFmtId="0" fontId="0" fillId="7" borderId="0" xfId="0" applyFill="1" applyAlignment="1">
      <alignment wrapText="1"/>
    </xf>
    <xf numFmtId="0" fontId="3" fillId="3" borderId="2" xfId="0" applyFont="1" applyFill="1" applyBorder="1" applyAlignment="1">
      <alignment wrapText="1"/>
    </xf>
    <xf numFmtId="0" fontId="1" fillId="4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8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6" borderId="0" xfId="0" applyFill="1" applyAlignment="1">
      <alignment wrapText="1"/>
    </xf>
    <xf numFmtId="0" fontId="5" fillId="2" borderId="0" xfId="0" applyFont="1" applyFill="1"/>
    <xf numFmtId="0" fontId="6" fillId="0" borderId="0" xfId="0" applyFont="1" applyBorder="1"/>
    <xf numFmtId="0" fontId="7" fillId="0" borderId="0" xfId="0" applyFont="1" applyBorder="1"/>
    <xf numFmtId="3" fontId="7" fillId="0" borderId="0" xfId="0" applyNumberFormat="1" applyFont="1" applyBorder="1"/>
    <xf numFmtId="0" fontId="8" fillId="9" borderId="0" xfId="0" applyFont="1" applyFill="1" applyBorder="1"/>
    <xf numFmtId="0" fontId="6" fillId="0" borderId="3" xfId="0" applyFont="1" applyBorder="1"/>
    <xf numFmtId="0" fontId="7" fillId="0" borderId="3" xfId="0" applyFont="1" applyBorder="1"/>
    <xf numFmtId="0" fontId="9" fillId="0" borderId="0" xfId="0" applyFont="1" applyBorder="1" applyAlignment="1">
      <alignment wrapText="1"/>
    </xf>
    <xf numFmtId="0" fontId="9" fillId="0" borderId="3" xfId="0" applyFont="1" applyBorder="1" applyAlignment="1">
      <alignment wrapText="1"/>
    </xf>
    <xf numFmtId="15" fontId="5" fillId="2" borderId="0" xfId="0" applyNumberFormat="1" applyFont="1" applyFill="1"/>
  </cellXfs>
  <cellStyles count="1">
    <cellStyle name="Normal" xfId="0" builtinId="0"/>
  </cellStyles>
  <dxfs count="67">
    <dxf>
      <fill>
        <patternFill patternType="solid">
          <fgColor indexed="64"/>
          <bgColor rgb="FFFFF2CC"/>
        </patternFill>
      </fill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BAB10-12A2-5F44-9FDB-8E419273D3E5}" name="tblEvidence" displayName="tblEvidence" ref="A1:H34" totalsRowShown="0" headerRowDxfId="66" dataDxfId="65">
  <autoFilter ref="A1:H34" xr:uid="{D09BAB10-12A2-5F44-9FDB-8E419273D3E5}"/>
  <tableColumns count="8">
    <tableColumn id="1" xr3:uid="{FAF2CA31-35D9-3549-A06E-592FEDF03BA0}" name="ID" dataDxfId="64"/>
    <tableColumn id="2" xr3:uid="{7EE6CE29-5EE3-2846-B7EC-EF1791D0A907}" name="Study" dataDxfId="63"/>
    <tableColumn id="3" xr3:uid="{3D97920D-7016-BB4E-9DCB-40594EBA72FE}" name="Status / type" dataDxfId="62"/>
    <tableColumn id="4" xr3:uid="{016B4C65-992B-C14D-8901-5ED2F9055062}" name="Unit / sample" dataDxfId="61"/>
    <tableColumn id="5" xr3:uid="{A2B52393-634E-9346-9FDF-1C6D6AD151D7}" name="Verified relevant finding" dataDxfId="60"/>
    <tableColumn id="6" xr3:uid="{281E2794-2CCE-434A-9550-795F1F8BA760}" name="Coverage / construct" dataDxfId="59"/>
    <tableColumn id="7" xr3:uid="{791B4466-1019-0B47-A842-ABCF5015E728}" name="Preliminary role" dataDxfId="58"/>
    <tableColumn id="8" xr3:uid="{B99D429C-3F06-1148-8B15-64CD05E087E8}" name="Source URL" dataDxfId="5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BC8B77-423E-0F4A-A91C-C78979BB2E26}" name="tblNovelty" displayName="tblNovelty" ref="A1:M7" totalsRowShown="0" headerRowDxfId="56" dataDxfId="55">
  <autoFilter ref="A1:M7" xr:uid="{1BBC8B77-423E-0F4A-A91C-C78979BB2E26}"/>
  <tableColumns count="13">
    <tableColumn id="1" xr3:uid="{C1CC55E8-73D7-7442-833D-D64E8F2A32F6}" name="STUDY FAMILY" dataDxfId="54"/>
    <tableColumn id="2" xr3:uid="{ACEB2E3E-DAD7-6E4D-AE06-81E831550167}" name="EXISTING CONTRIBUTION" dataDxfId="53"/>
    <tableColumn id="3" xr3:uid="{FDD25757-FD77-9F40-A2C1-B9771FC4C711}" name="NOVELTY CONSTRAINT" dataDxfId="52"/>
    <tableColumn id="4" xr3:uid="{1F7A4226-DDF0-FC41-80AE-344167308927}" name="PROSPECTIVE ESTIMATE" dataDxfId="51"/>
    <tableColumn id="5" xr3:uid="{71F84DE4-2FD8-EA40-A1F4-837B4C833013}" name="MULTI-ROLE CAPACITY" dataDxfId="50"/>
    <tableColumn id="6" xr3:uid="{70360D2F-1881-7443-B5CB-7DB196B7C0FC}" name="REQS–UAT" dataDxfId="49"/>
    <tableColumn id="7" xr3:uid="{B59D4A77-EA02-5A48-A8B6-143D5565E46E}" name="READINESS EVIDENCE" dataDxfId="48"/>
    <tableColumn id="8" xr3:uid="{7B4C075B-242A-4B48-B359-E198193EDE44}" name="STORY POINT COMPARISON" dataDxfId="47"/>
    <tableColumn id="9" xr3:uid="{439749D4-1773-3D48-BD8D-6385FC0B652F}" name="MULTI-TEAM FIELD" dataDxfId="46"/>
    <tableColumn id="10" xr3:uid="{59440D15-A5AA-D641-839A-B8A24463F08B}" name="OUT-OF-SAMPLE VALIDATION" dataDxfId="45"/>
    <tableColumn id="11" xr3:uid="{8AF7FB4A-C263-7345-A035-64DD5FE4EBC1}" name="OVERLAP RISK" dataDxfId="44"/>
    <tableColumn id="12" xr3:uid="{A7D16C75-E886-2E42-9402-A6B4B3039302}" name="REMAINING DISTINCTION" dataDxfId="43"/>
    <tableColumn id="13" xr3:uid="{8AA0D1AB-C798-2E4E-A289-A769475B6871}" name="SOURCE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6F7137-47A6-8443-9CCF-072D40ED37DB}" name="tblScreening" displayName="tblScreening" ref="A1:N2" totalsRowShown="0" headerRowDxfId="41" dataDxfId="40">
  <autoFilter ref="A1:N2" xr:uid="{296F7137-47A6-8443-9CCF-072D40ED37DB}"/>
  <tableColumns count="14">
    <tableColumn id="1" xr3:uid="{660E14DB-44C4-0F44-91A7-C24F1D6BCCD4}" name="RECORD ID" dataDxfId="39"/>
    <tableColumn id="2" xr3:uid="{6DCA95F1-FCEF-E14F-B794-FD580B6E1590}" name="STUDY-FAMILY ID" dataDxfId="38"/>
    <tableColumn id="3" xr3:uid="{E1FBAADD-8ED4-3B47-A85A-491F317590A0}" name="STAGE" dataDxfId="37"/>
    <tableColumn id="4" xr3:uid="{9B481B86-DF7B-C84E-B7A9-FBC0A7CBD776}" name="AGENT 1 DECISION" dataDxfId="36"/>
    <tableColumn id="5" xr3:uid="{1ABB52E6-800B-5A43-9ECA-E26375DA47D9}" name="AGENT 1 REASON" dataDxfId="35"/>
    <tableColumn id="6" xr3:uid="{00231904-88EF-C74E-A0D7-FBEF2582DA75}" name="AGENT 1 CONFIDENCE" dataDxfId="34"/>
    <tableColumn id="7" xr3:uid="{CCAA8365-FD3E-594F-80BA-CB1491C6B01A}" name="AGENT 1 PROVENANCE" dataDxfId="33"/>
    <tableColumn id="8" xr3:uid="{83011AAC-EF9C-0345-BCAC-5984AA965E8E}" name="AGENT 2 DECISION" dataDxfId="32"/>
    <tableColumn id="9" xr3:uid="{7C690FFC-1BF6-904E-BEB6-0A574A2DA528}" name="AGENT 2 REASON" dataDxfId="31"/>
    <tableColumn id="10" xr3:uid="{4D53B8D7-C2A8-7B49-9282-A30E8EE90533}" name="AGENT 2 CONFIDENCE" dataDxfId="30"/>
    <tableColumn id="11" xr3:uid="{B2BE7B56-3AE0-2F42-B82A-5D5A791CB42D}" name="AGENT 2 PROVENANCE" dataDxfId="29"/>
    <tableColumn id="12" xr3:uid="{87D8BAB5-7EEC-6F40-96EF-FF1AB189535D}" name="CONFLICT?" dataDxfId="28"/>
    <tableColumn id="13" xr3:uid="{51C1EA95-A391-C043-B15D-0E8DFC5E8D01}" name="ADJUDICATED DECISION / SOURCE LOCATOR" dataDxfId="27"/>
    <tableColumn id="14" xr3:uid="{AEBE932F-24B0-9F43-BF30-E14CCB33D8E4}" name="AUTHOR VERIFICATION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28C445-7A4D-DC4E-871B-8D5FB01B8842}" name="tblSearch" displayName="tblSearch" ref="A1:N14" totalsRowShown="0" headerRowDxfId="25" dataDxfId="24">
  <autoFilter ref="A1:N14" xr:uid="{4228C445-7A4D-DC4E-871B-8D5FB01B8842}"/>
  <tableColumns count="14">
    <tableColumn id="1" xr3:uid="{41B92BB3-669F-2B49-9BEC-281C010CC048}" name="SEARCH RUN ID" dataDxfId="23"/>
    <tableColumn id="2" xr3:uid="{D678F8A8-763E-D94D-B3FE-E268F51CDA90}" name="DATE / TIME / ZONE" dataDxfId="22"/>
    <tableColumn id="3" xr3:uid="{D84560EB-5AA4-A544-AEA6-59CF8E024F6C}" name="OPERATOR TYPE / ID" dataDxfId="21"/>
    <tableColumn id="4" xr3:uid="{E9B4AC3C-CDF9-7243-89CB-98B5E6CD0088}" name="EVIDENCE STREAM" dataDxfId="20"/>
    <tableColumn id="5" xr3:uid="{57131C6D-A214-CE4F-93D6-167C5C92CBC3}" name="DATABASE / SOURCE" dataDxfId="19"/>
    <tableColumn id="6" xr3:uid="{B5CD55CD-EDF6-9A46-825E-6C944217C3AC}" name="PLATFORM" dataDxfId="18"/>
    <tableColumn id="7" xr3:uid="{99401E7D-7BA1-194C-B21E-48EFEBDC41FE}" name="SEARCH FAMILY" dataDxfId="17"/>
    <tableColumn id="8" xr3:uid="{50966905-3202-4245-B5DA-214C219E73D3}" name="EXACT LITERAL QUERY" dataDxfId="16"/>
    <tableColumn id="9" xr3:uid="{360F545D-3EB1-E242-9BF8-BCE221BEEBBD}" name="FIELDS SEARCHED" dataDxfId="15"/>
    <tableColumn id="10" xr3:uid="{A474F70F-336A-3745-AEDB-3E3A5E77CD02}" name="FILTERS" dataDxfId="14"/>
    <tableColumn id="11" xr3:uid="{150E1ACA-3461-B54A-81AD-19AFA1F5B5B5}" name="RESULTS" dataDxfId="13"/>
    <tableColumn id="12" xr3:uid="{5E4F3074-FFA1-324F-B956-2E15894A430B}" name="EXPORT / CHECKSUM" dataDxfId="12"/>
    <tableColumn id="13" xr3:uid="{939FA1EC-1835-BD48-A413-53104250B53F}" name="DEVIATION ID" dataDxfId="11"/>
    <tableColumn id="14" xr3:uid="{7F349324-EAE3-8C40-998A-0C7EF27F0D9B}" name="NOTES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F4AC17-2FA2-E64E-8D2C-C32C9C4AD35B}" name="tblPrisma" displayName="tblPrisma" ref="A1:H11" totalsRowShown="0" headerRowDxfId="9" dataDxfId="8">
  <autoFilter ref="A1:H11" xr:uid="{A6F4AC17-2FA2-E64E-8D2C-C32C9C4AD35B}"/>
  <tableColumns count="8">
    <tableColumn id="1" xr3:uid="{03F8DB63-D87A-9841-B9F3-098C4D367D30}" name="PRISMA FLOW STAGE" dataDxfId="7"/>
    <tableColumn id="2" xr3:uid="{665D3D0F-7BD3-5142-B00B-D427BB1DB167}" name="SCHOLARLY DATABASES" dataDxfId="6"/>
    <tableColumn id="3" xr3:uid="{996025C3-EB51-924F-9390-8AC3F18FFD76}" name="OTHER METHODS / GREY" dataDxfId="5"/>
    <tableColumn id="4" xr3:uid="{7AD4EE20-9CED-1A49-9D7C-F918CA1A109D}" name="TOTAL" dataDxfId="4">
      <calculatedColumnFormula>SUM(B2:C2)</calculatedColumnFormula>
    </tableColumn>
    <tableColumn id="5" xr3:uid="{2A5A6A24-559C-7A4E-B74E-644DDF9B36AC}" name="DERIVATION / QUERY" dataDxfId="3"/>
    <tableColumn id="6" xr3:uid="{DF71DAA3-E4C7-6645-A7F8-43D5F3114D75}" name="VERIFIED BY" dataDxfId="2"/>
    <tableColumn id="7" xr3:uid="{3FA8C6BF-AFF1-9240-AB54-4AA5FE665027}" name="DATE" dataDxfId="1"/>
    <tableColumn id="8" xr3:uid="{57CE7C4C-9B5D-864C-A2D7-4F39854E9769}" name="STATUS / NO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DC2AB4-A7E3-5548-994B-D1D1E2518681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a4ed6660-c288-4a59-8f04-3f9776a13c86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DCE0-BD5D-D141-9D91-1FFE1E249C00}">
  <dimension ref="A1:C36"/>
  <sheetViews>
    <sheetView tabSelected="1" workbookViewId="0">
      <selection activeCell="D4" sqref="D4"/>
    </sheetView>
  </sheetViews>
  <sheetFormatPr baseColWidth="10" defaultRowHeight="16" x14ac:dyDescent="0.2"/>
  <cols>
    <col min="1" max="1" width="35" customWidth="1"/>
    <col min="2" max="2" width="70" customWidth="1"/>
    <col min="3" max="3" width="43.33203125" customWidth="1"/>
  </cols>
  <sheetData>
    <row r="1" spans="1:3" ht="70" thickBot="1" x14ac:dyDescent="0.35">
      <c r="A1" s="1" t="s">
        <v>0</v>
      </c>
      <c r="B1" s="1"/>
      <c r="C1" s="1"/>
    </row>
    <row r="2" spans="1:3" ht="18" thickTop="1" x14ac:dyDescent="0.2">
      <c r="A2" s="2" t="s">
        <v>1</v>
      </c>
      <c r="B2" s="2" t="s">
        <v>2</v>
      </c>
      <c r="C2" s="2"/>
    </row>
    <row r="3" spans="1:3" ht="17" x14ac:dyDescent="0.2">
      <c r="A3" s="3" t="s">
        <v>3</v>
      </c>
      <c r="B3" s="3" t="s">
        <v>4</v>
      </c>
      <c r="C3" s="2"/>
    </row>
    <row r="4" spans="1:3" ht="34" x14ac:dyDescent="0.2">
      <c r="A4" s="4" t="s">
        <v>5</v>
      </c>
      <c r="B4" s="4" t="s">
        <v>423</v>
      </c>
      <c r="C4" s="2"/>
    </row>
    <row r="5" spans="1:3" ht="17" x14ac:dyDescent="0.2">
      <c r="A5" s="2" t="s">
        <v>6</v>
      </c>
      <c r="B5" s="2" t="s">
        <v>424</v>
      </c>
      <c r="C5" s="2"/>
    </row>
    <row r="6" spans="1:3" x14ac:dyDescent="0.2">
      <c r="A6" s="2"/>
      <c r="B6" s="2"/>
      <c r="C6" s="2"/>
    </row>
    <row r="7" spans="1:3" ht="18" thickBot="1" x14ac:dyDescent="0.25">
      <c r="A7" s="5" t="s">
        <v>7</v>
      </c>
      <c r="B7" s="5" t="s">
        <v>8</v>
      </c>
      <c r="C7" s="5" t="s">
        <v>9</v>
      </c>
    </row>
    <row r="8" spans="1:3" ht="17" x14ac:dyDescent="0.2">
      <c r="A8" s="2" t="s">
        <v>10</v>
      </c>
      <c r="B8" s="2">
        <f>COUNTA('Evidence Matrix'!A2:A250)</f>
        <v>33</v>
      </c>
      <c r="C8" s="2" t="s">
        <v>11</v>
      </c>
    </row>
    <row r="9" spans="1:3" ht="17" x14ac:dyDescent="0.2">
      <c r="A9" s="2" t="s">
        <v>12</v>
      </c>
      <c r="B9" s="2">
        <f>COUNTIF('Evidence Matrix'!G2:G250,"*overlap*")</f>
        <v>7</v>
      </c>
      <c r="C9" s="2" t="s">
        <v>13</v>
      </c>
    </row>
    <row r="10" spans="1:3" ht="51" x14ac:dyDescent="0.2">
      <c r="A10" s="2" t="s">
        <v>14</v>
      </c>
      <c r="B10" s="2">
        <f>COUNTA('Search Log'!A2:A300)</f>
        <v>13</v>
      </c>
      <c r="C10" s="2" t="s">
        <v>425</v>
      </c>
    </row>
    <row r="11" spans="1:3" ht="34" x14ac:dyDescent="0.2">
      <c r="A11" s="2" t="s">
        <v>15</v>
      </c>
      <c r="B11" s="2">
        <f>COUNTA('Screening Log'!A2:A500)</f>
        <v>0</v>
      </c>
      <c r="C11" s="2" t="s">
        <v>16</v>
      </c>
    </row>
    <row r="12" spans="1:3" x14ac:dyDescent="0.2">
      <c r="A12" s="2"/>
      <c r="B12" s="2"/>
      <c r="C12" s="2"/>
    </row>
    <row r="13" spans="1:3" ht="17" x14ac:dyDescent="0.2">
      <c r="A13" s="6" t="s">
        <v>17</v>
      </c>
      <c r="B13" s="6"/>
      <c r="C13" s="6"/>
    </row>
    <row r="14" spans="1:3" ht="68" x14ac:dyDescent="0.2">
      <c r="A14" s="10" t="s">
        <v>421</v>
      </c>
      <c r="B14" s="2" t="s">
        <v>18</v>
      </c>
      <c r="C14" s="2"/>
    </row>
    <row r="15" spans="1:3" x14ac:dyDescent="0.2">
      <c r="A15" s="2"/>
      <c r="B15" s="2"/>
      <c r="C15" s="2"/>
    </row>
    <row r="16" spans="1:3" ht="17" x14ac:dyDescent="0.2">
      <c r="A16" s="3" t="s">
        <v>19</v>
      </c>
      <c r="B16" s="3"/>
      <c r="C16" s="3"/>
    </row>
    <row r="17" spans="1:3" ht="17" x14ac:dyDescent="0.2">
      <c r="A17" s="2">
        <v>1</v>
      </c>
      <c r="B17" s="2" t="s">
        <v>20</v>
      </c>
      <c r="C17" s="2"/>
    </row>
    <row r="18" spans="1:3" ht="34" x14ac:dyDescent="0.2">
      <c r="A18" s="2">
        <v>2</v>
      </c>
      <c r="B18" s="2" t="s">
        <v>21</v>
      </c>
      <c r="C18" s="2"/>
    </row>
    <row r="19" spans="1:3" ht="17" x14ac:dyDescent="0.2">
      <c r="A19" s="2">
        <v>3</v>
      </c>
      <c r="B19" s="2" t="s">
        <v>22</v>
      </c>
      <c r="C19" s="2"/>
    </row>
    <row r="20" spans="1:3" ht="17" x14ac:dyDescent="0.2">
      <c r="A20" s="2">
        <v>4</v>
      </c>
      <c r="B20" s="2" t="s">
        <v>23</v>
      </c>
      <c r="C20" s="2"/>
    </row>
    <row r="21" spans="1:3" ht="17" x14ac:dyDescent="0.2">
      <c r="A21" s="2">
        <v>5</v>
      </c>
      <c r="B21" s="2" t="s">
        <v>24</v>
      </c>
      <c r="C21" s="2"/>
    </row>
    <row r="22" spans="1:3" ht="34" x14ac:dyDescent="0.2">
      <c r="A22" s="2">
        <v>6</v>
      </c>
      <c r="B22" s="2" t="s">
        <v>25</v>
      </c>
      <c r="C22" s="2"/>
    </row>
    <row r="23" spans="1:3" x14ac:dyDescent="0.2">
      <c r="A23" s="2"/>
      <c r="B23" s="2"/>
      <c r="C23" s="2"/>
    </row>
    <row r="24" spans="1:3" ht="17" x14ac:dyDescent="0.2">
      <c r="A24" s="7" t="s">
        <v>26</v>
      </c>
      <c r="B24" s="7"/>
      <c r="C24" s="7"/>
    </row>
    <row r="25" spans="1:3" ht="51" x14ac:dyDescent="0.2">
      <c r="A25" s="7" t="s">
        <v>422</v>
      </c>
      <c r="B25" s="11" t="s">
        <v>27</v>
      </c>
      <c r="C25" s="7"/>
    </row>
    <row r="27" spans="1:3" x14ac:dyDescent="0.2">
      <c r="A27" s="12" t="s">
        <v>513</v>
      </c>
      <c r="B27" s="21">
        <v>46249</v>
      </c>
      <c r="C27" s="12" t="s">
        <v>368</v>
      </c>
    </row>
    <row r="28" spans="1:3" x14ac:dyDescent="0.2">
      <c r="A28" s="13" t="s">
        <v>426</v>
      </c>
      <c r="B28" s="14" t="s">
        <v>427</v>
      </c>
      <c r="C28" s="14" t="s">
        <v>509</v>
      </c>
    </row>
    <row r="29" spans="1:3" x14ac:dyDescent="0.2">
      <c r="A29" s="13" t="s">
        <v>428</v>
      </c>
      <c r="B29" s="14" t="s">
        <v>429</v>
      </c>
      <c r="C29" s="14" t="s">
        <v>510</v>
      </c>
    </row>
    <row r="30" spans="1:3" x14ac:dyDescent="0.2">
      <c r="A30" s="13" t="s">
        <v>430</v>
      </c>
      <c r="B30" s="14" t="s">
        <v>431</v>
      </c>
      <c r="C30" s="14" t="s">
        <v>511</v>
      </c>
    </row>
    <row r="31" spans="1:3" x14ac:dyDescent="0.2">
      <c r="A31" s="13" t="s">
        <v>432</v>
      </c>
      <c r="B31" s="15">
        <v>1943</v>
      </c>
      <c r="C31" s="14" t="s">
        <v>512</v>
      </c>
    </row>
    <row r="32" spans="1:3" x14ac:dyDescent="0.2">
      <c r="A32" s="13" t="s">
        <v>433</v>
      </c>
      <c r="B32" s="14" t="s">
        <v>514</v>
      </c>
      <c r="C32" s="14" t="s">
        <v>515</v>
      </c>
    </row>
    <row r="33" spans="1:3" x14ac:dyDescent="0.2">
      <c r="A33" s="13" t="s">
        <v>434</v>
      </c>
      <c r="B33" s="14" t="s">
        <v>516</v>
      </c>
      <c r="C33" s="14" t="s">
        <v>517</v>
      </c>
    </row>
    <row r="34" spans="1:3" x14ac:dyDescent="0.2">
      <c r="A34" s="13" t="s">
        <v>435</v>
      </c>
      <c r="B34" s="16" t="b">
        <v>0</v>
      </c>
      <c r="C34" s="14" t="s">
        <v>518</v>
      </c>
    </row>
    <row r="35" spans="1:3" x14ac:dyDescent="0.2">
      <c r="A35" s="13" t="s">
        <v>436</v>
      </c>
      <c r="B35" s="14" t="s">
        <v>519</v>
      </c>
      <c r="C35" s="14" t="s">
        <v>520</v>
      </c>
    </row>
    <row r="36" spans="1:3" x14ac:dyDescent="0.2">
      <c r="A36" s="17" t="s">
        <v>437</v>
      </c>
      <c r="B36" s="18" t="s">
        <v>521</v>
      </c>
      <c r="C36" s="1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BD59-4CA1-E941-AA63-976A1FC7ADB1}">
  <sheetPr>
    <tabColor rgb="FF4472C4"/>
  </sheetPr>
  <dimension ref="A1:H34"/>
  <sheetViews>
    <sheetView workbookViewId="0"/>
  </sheetViews>
  <sheetFormatPr baseColWidth="10" defaultRowHeight="16" x14ac:dyDescent="0.2"/>
  <cols>
    <col min="1" max="1" width="9.1640625" customWidth="1"/>
    <col min="2" max="2" width="40" customWidth="1"/>
    <col min="3" max="3" width="24.1640625" customWidth="1"/>
    <col min="4" max="4" width="26.6640625" customWidth="1"/>
    <col min="5" max="5" width="56.6640625" customWidth="1"/>
    <col min="6" max="6" width="24.1640625" customWidth="1"/>
    <col min="7" max="7" width="28.33203125" customWidth="1"/>
    <col min="8" max="8" width="40.83203125" customWidth="1"/>
  </cols>
  <sheetData>
    <row r="1" spans="1:8" ht="17" x14ac:dyDescent="0.2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 spans="1:8" ht="51" x14ac:dyDescent="0.2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</row>
    <row r="3" spans="1:8" ht="34" x14ac:dyDescent="0.2">
      <c r="A3" s="2" t="s">
        <v>44</v>
      </c>
      <c r="B3" s="2" t="s">
        <v>45</v>
      </c>
      <c r="C3" s="2" t="s">
        <v>46</v>
      </c>
      <c r="D3" s="2" t="s">
        <v>39</v>
      </c>
      <c r="E3" s="2" t="s">
        <v>47</v>
      </c>
      <c r="F3" s="2" t="s">
        <v>41</v>
      </c>
      <c r="G3" s="2" t="s">
        <v>42</v>
      </c>
      <c r="H3" s="2" t="s">
        <v>48</v>
      </c>
    </row>
    <row r="4" spans="1:8" ht="51" x14ac:dyDescent="0.2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</row>
    <row r="5" spans="1:8" ht="51" x14ac:dyDescent="0.2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</row>
    <row r="6" spans="1:8" ht="51" x14ac:dyDescent="0.2">
      <c r="A6" s="2" t="s">
        <v>65</v>
      </c>
      <c r="B6" s="2" t="s">
        <v>66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55</v>
      </c>
      <c r="H6" s="2" t="s">
        <v>71</v>
      </c>
    </row>
    <row r="7" spans="1:8" ht="51" x14ac:dyDescent="0.2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78</v>
      </c>
      <c r="H7" s="2" t="s">
        <v>79</v>
      </c>
    </row>
    <row r="8" spans="1:8" ht="51" x14ac:dyDescent="0.2">
      <c r="A8" s="2" t="s">
        <v>80</v>
      </c>
      <c r="B8" s="2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86</v>
      </c>
      <c r="H8" s="2" t="s">
        <v>87</v>
      </c>
    </row>
    <row r="9" spans="1:8" ht="51" x14ac:dyDescent="0.2">
      <c r="A9" s="2" t="s">
        <v>88</v>
      </c>
      <c r="B9" s="2" t="s">
        <v>89</v>
      </c>
      <c r="C9" s="2" t="s">
        <v>90</v>
      </c>
      <c r="D9" s="2" t="s">
        <v>91</v>
      </c>
      <c r="E9" s="2" t="s">
        <v>92</v>
      </c>
      <c r="F9" s="2" t="s">
        <v>93</v>
      </c>
      <c r="G9" s="2" t="s">
        <v>94</v>
      </c>
      <c r="H9" s="2" t="s">
        <v>95</v>
      </c>
    </row>
    <row r="10" spans="1:8" ht="51" x14ac:dyDescent="0.2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101</v>
      </c>
      <c r="G10" s="2" t="s">
        <v>102</v>
      </c>
      <c r="H10" s="2" t="s">
        <v>103</v>
      </c>
    </row>
    <row r="11" spans="1:8" ht="51" x14ac:dyDescent="0.2">
      <c r="A11" s="2" t="s">
        <v>104</v>
      </c>
      <c r="B11" s="2" t="s">
        <v>105</v>
      </c>
      <c r="C11" s="2" t="s">
        <v>106</v>
      </c>
      <c r="D11" s="2" t="s">
        <v>107</v>
      </c>
      <c r="E11" s="2" t="s">
        <v>108</v>
      </c>
      <c r="F11" s="2" t="s">
        <v>109</v>
      </c>
      <c r="G11" s="2" t="s">
        <v>110</v>
      </c>
      <c r="H11" s="2" t="s">
        <v>111</v>
      </c>
    </row>
    <row r="12" spans="1:8" ht="51" x14ac:dyDescent="0.2">
      <c r="A12" s="2" t="s">
        <v>112</v>
      </c>
      <c r="B12" s="2" t="s">
        <v>113</v>
      </c>
      <c r="C12" s="2" t="s">
        <v>114</v>
      </c>
      <c r="D12" s="2" t="s">
        <v>115</v>
      </c>
      <c r="E12" s="2" t="s">
        <v>116</v>
      </c>
      <c r="F12" s="2" t="s">
        <v>117</v>
      </c>
      <c r="G12" s="2" t="s">
        <v>118</v>
      </c>
      <c r="H12" s="2" t="s">
        <v>119</v>
      </c>
    </row>
    <row r="13" spans="1:8" ht="51" x14ac:dyDescent="0.2">
      <c r="A13" s="2" t="s">
        <v>120</v>
      </c>
      <c r="B13" s="2" t="s">
        <v>121</v>
      </c>
      <c r="C13" s="2" t="s">
        <v>122</v>
      </c>
      <c r="D13" s="2" t="s">
        <v>123</v>
      </c>
      <c r="E13" s="2" t="s">
        <v>124</v>
      </c>
      <c r="F13" s="2" t="s">
        <v>125</v>
      </c>
      <c r="G13" s="2" t="s">
        <v>126</v>
      </c>
      <c r="H13" s="2" t="s">
        <v>127</v>
      </c>
    </row>
    <row r="14" spans="1:8" ht="51" x14ac:dyDescent="0.2">
      <c r="A14" s="2" t="s">
        <v>128</v>
      </c>
      <c r="B14" s="2" t="s">
        <v>129</v>
      </c>
      <c r="C14" s="2" t="s">
        <v>130</v>
      </c>
      <c r="D14" s="2" t="s">
        <v>131</v>
      </c>
      <c r="E14" s="2" t="s">
        <v>132</v>
      </c>
      <c r="F14" s="2" t="s">
        <v>133</v>
      </c>
      <c r="G14" s="2" t="s">
        <v>134</v>
      </c>
      <c r="H14" s="2" t="s">
        <v>135</v>
      </c>
    </row>
    <row r="15" spans="1:8" ht="68" x14ac:dyDescent="0.2">
      <c r="A15" s="2" t="s">
        <v>136</v>
      </c>
      <c r="B15" s="2" t="s">
        <v>137</v>
      </c>
      <c r="C15" s="2" t="s">
        <v>138</v>
      </c>
      <c r="D15" s="2" t="s">
        <v>139</v>
      </c>
      <c r="E15" s="2" t="s">
        <v>140</v>
      </c>
      <c r="F15" s="2" t="s">
        <v>141</v>
      </c>
      <c r="G15" s="2" t="s">
        <v>142</v>
      </c>
      <c r="H15" s="2" t="s">
        <v>143</v>
      </c>
    </row>
    <row r="16" spans="1:8" ht="51" x14ac:dyDescent="0.2">
      <c r="A16" s="2" t="s">
        <v>144</v>
      </c>
      <c r="B16" s="2" t="s">
        <v>145</v>
      </c>
      <c r="C16" s="2" t="s">
        <v>146</v>
      </c>
      <c r="D16" s="2" t="s">
        <v>147</v>
      </c>
      <c r="E16" s="2" t="s">
        <v>148</v>
      </c>
      <c r="F16" s="2" t="s">
        <v>149</v>
      </c>
      <c r="G16" s="2" t="s">
        <v>150</v>
      </c>
      <c r="H16" s="2" t="s">
        <v>151</v>
      </c>
    </row>
    <row r="17" spans="1:8" ht="34" x14ac:dyDescent="0.2">
      <c r="A17" s="2" t="s">
        <v>152</v>
      </c>
      <c r="B17" s="2" t="s">
        <v>153</v>
      </c>
      <c r="C17" s="2" t="s">
        <v>154</v>
      </c>
      <c r="D17" s="2" t="s">
        <v>155</v>
      </c>
      <c r="E17" s="2" t="s">
        <v>156</v>
      </c>
      <c r="F17" s="2" t="s">
        <v>157</v>
      </c>
      <c r="G17" s="2" t="s">
        <v>158</v>
      </c>
      <c r="H17" s="2" t="s">
        <v>159</v>
      </c>
    </row>
    <row r="18" spans="1:8" ht="68" x14ac:dyDescent="0.2">
      <c r="A18" s="2" t="s">
        <v>160</v>
      </c>
      <c r="B18" s="2" t="s">
        <v>161</v>
      </c>
      <c r="C18" s="2" t="s">
        <v>162</v>
      </c>
      <c r="D18" s="2" t="s">
        <v>163</v>
      </c>
      <c r="E18" s="2" t="s">
        <v>164</v>
      </c>
      <c r="F18" s="2" t="s">
        <v>165</v>
      </c>
      <c r="G18" s="2" t="s">
        <v>166</v>
      </c>
      <c r="H18" s="2" t="s">
        <v>167</v>
      </c>
    </row>
    <row r="19" spans="1:8" ht="51" x14ac:dyDescent="0.2">
      <c r="A19" s="2" t="s">
        <v>168</v>
      </c>
      <c r="B19" s="2" t="s">
        <v>169</v>
      </c>
      <c r="C19" s="2" t="s">
        <v>170</v>
      </c>
      <c r="D19" s="2" t="s">
        <v>171</v>
      </c>
      <c r="E19" s="2" t="s">
        <v>172</v>
      </c>
      <c r="F19" s="2" t="s">
        <v>173</v>
      </c>
      <c r="G19" s="2" t="s">
        <v>174</v>
      </c>
      <c r="H19" s="2" t="s">
        <v>175</v>
      </c>
    </row>
    <row r="20" spans="1:8" ht="51" x14ac:dyDescent="0.2">
      <c r="A20" s="2" t="s">
        <v>176</v>
      </c>
      <c r="B20" s="2" t="s">
        <v>177</v>
      </c>
      <c r="C20" s="2" t="s">
        <v>178</v>
      </c>
      <c r="D20" s="2" t="s">
        <v>179</v>
      </c>
      <c r="E20" s="2" t="s">
        <v>180</v>
      </c>
      <c r="F20" s="2" t="s">
        <v>181</v>
      </c>
      <c r="G20" s="2" t="s">
        <v>182</v>
      </c>
      <c r="H20" s="2" t="s">
        <v>183</v>
      </c>
    </row>
    <row r="21" spans="1:8" ht="51" x14ac:dyDescent="0.2">
      <c r="A21" s="2" t="s">
        <v>184</v>
      </c>
      <c r="B21" s="2" t="s">
        <v>185</v>
      </c>
      <c r="C21" s="2" t="s">
        <v>186</v>
      </c>
      <c r="D21" s="2" t="s">
        <v>187</v>
      </c>
      <c r="E21" s="2" t="s">
        <v>188</v>
      </c>
      <c r="F21" s="2" t="s">
        <v>189</v>
      </c>
      <c r="G21" s="2" t="s">
        <v>190</v>
      </c>
      <c r="H21" s="2" t="s">
        <v>191</v>
      </c>
    </row>
    <row r="22" spans="1:8" ht="51" x14ac:dyDescent="0.2">
      <c r="A22" s="2" t="s">
        <v>192</v>
      </c>
      <c r="B22" s="2" t="s">
        <v>193</v>
      </c>
      <c r="C22" s="2" t="s">
        <v>194</v>
      </c>
      <c r="D22" s="2" t="s">
        <v>195</v>
      </c>
      <c r="E22" s="2" t="s">
        <v>196</v>
      </c>
      <c r="F22" s="2" t="s">
        <v>197</v>
      </c>
      <c r="G22" s="2" t="s">
        <v>198</v>
      </c>
      <c r="H22" s="2" t="s">
        <v>199</v>
      </c>
    </row>
    <row r="23" spans="1:8" ht="51" x14ac:dyDescent="0.2">
      <c r="A23" s="2" t="s">
        <v>200</v>
      </c>
      <c r="B23" s="2" t="s">
        <v>201</v>
      </c>
      <c r="C23" s="2" t="s">
        <v>202</v>
      </c>
      <c r="D23" s="2" t="s">
        <v>203</v>
      </c>
      <c r="E23" s="2" t="s">
        <v>204</v>
      </c>
      <c r="F23" s="2" t="s">
        <v>205</v>
      </c>
      <c r="G23" s="2" t="s">
        <v>206</v>
      </c>
      <c r="H23" s="2" t="s">
        <v>207</v>
      </c>
    </row>
    <row r="24" spans="1:8" ht="34" x14ac:dyDescent="0.2">
      <c r="A24" s="2" t="s">
        <v>208</v>
      </c>
      <c r="B24" s="2" t="s">
        <v>209</v>
      </c>
      <c r="C24" s="2" t="s">
        <v>210</v>
      </c>
      <c r="D24" s="2" t="s">
        <v>211</v>
      </c>
      <c r="E24" s="2" t="s">
        <v>212</v>
      </c>
      <c r="F24" s="2" t="s">
        <v>213</v>
      </c>
      <c r="G24" s="2" t="s">
        <v>214</v>
      </c>
      <c r="H24" s="2" t="s">
        <v>215</v>
      </c>
    </row>
    <row r="25" spans="1:8" ht="51" x14ac:dyDescent="0.2">
      <c r="A25" s="2" t="s">
        <v>216</v>
      </c>
      <c r="B25" s="2" t="s">
        <v>217</v>
      </c>
      <c r="C25" s="2" t="s">
        <v>218</v>
      </c>
      <c r="D25" s="2" t="s">
        <v>219</v>
      </c>
      <c r="E25" s="2" t="s">
        <v>220</v>
      </c>
      <c r="F25" s="2" t="s">
        <v>221</v>
      </c>
      <c r="G25" s="2" t="s">
        <v>222</v>
      </c>
      <c r="H25" s="2" t="s">
        <v>223</v>
      </c>
    </row>
    <row r="26" spans="1:8" ht="34" x14ac:dyDescent="0.2">
      <c r="A26" s="2" t="s">
        <v>224</v>
      </c>
      <c r="B26" s="2" t="s">
        <v>225</v>
      </c>
      <c r="C26" s="2" t="s">
        <v>226</v>
      </c>
      <c r="D26" s="2" t="s">
        <v>227</v>
      </c>
      <c r="E26" s="2" t="s">
        <v>228</v>
      </c>
      <c r="F26" s="2" t="s">
        <v>229</v>
      </c>
      <c r="G26" s="2" t="s">
        <v>230</v>
      </c>
      <c r="H26" s="2" t="s">
        <v>231</v>
      </c>
    </row>
    <row r="27" spans="1:8" ht="34" x14ac:dyDescent="0.2">
      <c r="A27" s="2" t="s">
        <v>232</v>
      </c>
      <c r="B27" s="2" t="s">
        <v>233</v>
      </c>
      <c r="C27" s="2" t="s">
        <v>234</v>
      </c>
      <c r="D27" s="2" t="s">
        <v>235</v>
      </c>
      <c r="E27" s="2" t="s">
        <v>236</v>
      </c>
      <c r="F27" s="2" t="s">
        <v>237</v>
      </c>
      <c r="G27" s="2" t="s">
        <v>238</v>
      </c>
      <c r="H27" s="2" t="s">
        <v>239</v>
      </c>
    </row>
    <row r="28" spans="1:8" ht="34" x14ac:dyDescent="0.2">
      <c r="A28" s="2" t="s">
        <v>240</v>
      </c>
      <c r="B28" s="2" t="s">
        <v>241</v>
      </c>
      <c r="C28" s="2" t="s">
        <v>242</v>
      </c>
      <c r="D28" s="2" t="s">
        <v>243</v>
      </c>
      <c r="E28" s="2" t="s">
        <v>244</v>
      </c>
      <c r="F28" s="2" t="s">
        <v>245</v>
      </c>
      <c r="G28" s="2" t="s">
        <v>246</v>
      </c>
      <c r="H28" s="2" t="s">
        <v>247</v>
      </c>
    </row>
    <row r="29" spans="1:8" ht="51" x14ac:dyDescent="0.2">
      <c r="A29" s="2" t="s">
        <v>248</v>
      </c>
      <c r="B29" s="2" t="s">
        <v>249</v>
      </c>
      <c r="C29" s="2" t="s">
        <v>250</v>
      </c>
      <c r="D29" s="2" t="s">
        <v>251</v>
      </c>
      <c r="E29" s="2" t="s">
        <v>252</v>
      </c>
      <c r="F29" s="2" t="s">
        <v>253</v>
      </c>
      <c r="G29" s="2" t="s">
        <v>254</v>
      </c>
      <c r="H29" s="2" t="s">
        <v>255</v>
      </c>
    </row>
    <row r="30" spans="1:8" ht="51" x14ac:dyDescent="0.2">
      <c r="A30" s="2" t="s">
        <v>256</v>
      </c>
      <c r="B30" s="2" t="s">
        <v>257</v>
      </c>
      <c r="C30" s="2" t="s">
        <v>258</v>
      </c>
      <c r="D30" s="2" t="s">
        <v>259</v>
      </c>
      <c r="E30" s="2" t="s">
        <v>260</v>
      </c>
      <c r="F30" s="2" t="s">
        <v>261</v>
      </c>
      <c r="G30" s="2" t="s">
        <v>262</v>
      </c>
      <c r="H30" s="2" t="s">
        <v>263</v>
      </c>
    </row>
    <row r="31" spans="1:8" ht="51" x14ac:dyDescent="0.2">
      <c r="A31" s="2" t="s">
        <v>264</v>
      </c>
      <c r="B31" s="2" t="s">
        <v>265</v>
      </c>
      <c r="C31" s="2" t="s">
        <v>266</v>
      </c>
      <c r="D31" s="2" t="s">
        <v>267</v>
      </c>
      <c r="E31" s="2" t="s">
        <v>268</v>
      </c>
      <c r="F31" s="2" t="s">
        <v>269</v>
      </c>
      <c r="G31" s="2" t="s">
        <v>270</v>
      </c>
      <c r="H31" s="2" t="s">
        <v>271</v>
      </c>
    </row>
    <row r="32" spans="1:8" ht="34" x14ac:dyDescent="0.2">
      <c r="A32" s="2" t="s">
        <v>272</v>
      </c>
      <c r="B32" s="2" t="s">
        <v>273</v>
      </c>
      <c r="C32" s="2" t="s">
        <v>274</v>
      </c>
      <c r="D32" s="2" t="s">
        <v>275</v>
      </c>
      <c r="E32" s="2" t="s">
        <v>276</v>
      </c>
      <c r="F32" s="2" t="s">
        <v>277</v>
      </c>
      <c r="G32" s="2" t="s">
        <v>278</v>
      </c>
      <c r="H32" s="2" t="s">
        <v>279</v>
      </c>
    </row>
    <row r="33" spans="1:8" ht="34" x14ac:dyDescent="0.2">
      <c r="A33" s="2" t="s">
        <v>280</v>
      </c>
      <c r="B33" s="2" t="s">
        <v>281</v>
      </c>
      <c r="C33" s="2" t="s">
        <v>282</v>
      </c>
      <c r="D33" s="2" t="s">
        <v>283</v>
      </c>
      <c r="E33" s="2" t="s">
        <v>284</v>
      </c>
      <c r="F33" s="2" t="s">
        <v>285</v>
      </c>
      <c r="G33" s="2" t="s">
        <v>286</v>
      </c>
      <c r="H33" s="2" t="s">
        <v>287</v>
      </c>
    </row>
    <row r="34" spans="1:8" ht="51" x14ac:dyDescent="0.2">
      <c r="A34" s="2" t="s">
        <v>288</v>
      </c>
      <c r="B34" s="2" t="s">
        <v>289</v>
      </c>
      <c r="C34" s="2" t="s">
        <v>290</v>
      </c>
      <c r="D34" s="2" t="s">
        <v>291</v>
      </c>
      <c r="E34" s="2" t="s">
        <v>292</v>
      </c>
      <c r="F34" s="2" t="s">
        <v>293</v>
      </c>
      <c r="G34" s="2" t="s">
        <v>286</v>
      </c>
      <c r="H34" s="2" t="s">
        <v>294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3A75-64FE-6749-8A88-CFEDF3AA7EAD}">
  <sheetPr>
    <tabColor rgb="FFED7D31"/>
  </sheetPr>
  <dimension ref="A1:M7"/>
  <sheetViews>
    <sheetView workbookViewId="0"/>
  </sheetViews>
  <sheetFormatPr baseColWidth="10" defaultRowHeight="16" x14ac:dyDescent="0.2"/>
  <cols>
    <col min="1" max="1" width="28.33203125" customWidth="1"/>
    <col min="2" max="2" width="39.1640625" customWidth="1"/>
    <col min="3" max="3" width="40" customWidth="1"/>
    <col min="4" max="10" width="17.5" customWidth="1"/>
    <col min="11" max="11" width="15.83203125" customWidth="1"/>
    <col min="12" max="12" width="40.83203125" customWidth="1"/>
    <col min="13" max="13" width="36.6640625" customWidth="1"/>
  </cols>
  <sheetData>
    <row r="1" spans="1:13" ht="34" x14ac:dyDescent="0.2">
      <c r="A1" s="2" t="s">
        <v>295</v>
      </c>
      <c r="B1" s="2" t="s">
        <v>296</v>
      </c>
      <c r="C1" s="2" t="s">
        <v>297</v>
      </c>
      <c r="D1" s="2" t="s">
        <v>298</v>
      </c>
      <c r="E1" s="2" t="s">
        <v>299</v>
      </c>
      <c r="F1" s="2" t="s">
        <v>300</v>
      </c>
      <c r="G1" s="2" t="s">
        <v>301</v>
      </c>
      <c r="H1" s="2" t="s">
        <v>302</v>
      </c>
      <c r="I1" s="2" t="s">
        <v>303</v>
      </c>
      <c r="J1" s="2" t="s">
        <v>304</v>
      </c>
      <c r="K1" s="2" t="s">
        <v>305</v>
      </c>
      <c r="L1" s="2" t="s">
        <v>306</v>
      </c>
      <c r="M1" s="2" t="s">
        <v>307</v>
      </c>
    </row>
    <row r="2" spans="1:13" ht="51" x14ac:dyDescent="0.2">
      <c r="A2" s="2" t="s">
        <v>308</v>
      </c>
      <c r="B2" s="2" t="s">
        <v>309</v>
      </c>
      <c r="C2" s="2" t="s">
        <v>310</v>
      </c>
      <c r="D2" s="2" t="s">
        <v>311</v>
      </c>
      <c r="E2" s="2" t="s">
        <v>312</v>
      </c>
      <c r="F2" s="2" t="s">
        <v>312</v>
      </c>
      <c r="G2" s="2" t="s">
        <v>312</v>
      </c>
      <c r="H2" s="2" t="s">
        <v>312</v>
      </c>
      <c r="I2" s="2" t="s">
        <v>312</v>
      </c>
      <c r="J2" s="2" t="s">
        <v>312</v>
      </c>
      <c r="K2" s="2" t="s">
        <v>313</v>
      </c>
      <c r="L2" s="2" t="s">
        <v>314</v>
      </c>
      <c r="M2" s="2" t="s">
        <v>87</v>
      </c>
    </row>
    <row r="3" spans="1:13" ht="51" x14ac:dyDescent="0.2">
      <c r="A3" s="2" t="s">
        <v>315</v>
      </c>
      <c r="B3" s="2" t="s">
        <v>316</v>
      </c>
      <c r="C3" s="2" t="s">
        <v>317</v>
      </c>
      <c r="D3" s="2" t="s">
        <v>311</v>
      </c>
      <c r="E3" s="2" t="s">
        <v>312</v>
      </c>
      <c r="F3" s="2" t="s">
        <v>312</v>
      </c>
      <c r="G3" s="2" t="s">
        <v>312</v>
      </c>
      <c r="H3" s="2" t="s">
        <v>318</v>
      </c>
      <c r="I3" s="2" t="s">
        <v>312</v>
      </c>
      <c r="J3" s="2" t="s">
        <v>312</v>
      </c>
      <c r="K3" s="2" t="s">
        <v>313</v>
      </c>
      <c r="L3" s="2" t="s">
        <v>319</v>
      </c>
      <c r="M3" s="2" t="s">
        <v>95</v>
      </c>
    </row>
    <row r="4" spans="1:13" ht="51" x14ac:dyDescent="0.2">
      <c r="A4" s="2" t="s">
        <v>320</v>
      </c>
      <c r="B4" s="2" t="s">
        <v>321</v>
      </c>
      <c r="C4" s="2" t="s">
        <v>322</v>
      </c>
      <c r="D4" s="2" t="s">
        <v>318</v>
      </c>
      <c r="E4" s="2" t="s">
        <v>311</v>
      </c>
      <c r="F4" s="2" t="s">
        <v>311</v>
      </c>
      <c r="G4" s="2" t="s">
        <v>312</v>
      </c>
      <c r="H4" s="2" t="s">
        <v>312</v>
      </c>
      <c r="I4" s="2" t="s">
        <v>312</v>
      </c>
      <c r="J4" s="2" t="s">
        <v>312</v>
      </c>
      <c r="K4" s="2" t="s">
        <v>313</v>
      </c>
      <c r="L4" s="2" t="s">
        <v>323</v>
      </c>
      <c r="M4" s="2" t="s">
        <v>119</v>
      </c>
    </row>
    <row r="5" spans="1:13" ht="34" x14ac:dyDescent="0.2">
      <c r="A5" s="2" t="s">
        <v>324</v>
      </c>
      <c r="B5" s="2" t="s">
        <v>325</v>
      </c>
      <c r="C5" s="2" t="s">
        <v>326</v>
      </c>
      <c r="D5" s="2" t="s">
        <v>312</v>
      </c>
      <c r="E5" s="2" t="s">
        <v>311</v>
      </c>
      <c r="F5" s="2" t="s">
        <v>311</v>
      </c>
      <c r="G5" s="2" t="s">
        <v>318</v>
      </c>
      <c r="H5" s="2" t="s">
        <v>312</v>
      </c>
      <c r="I5" s="2" t="s">
        <v>312</v>
      </c>
      <c r="J5" s="2" t="s">
        <v>312</v>
      </c>
      <c r="K5" s="2" t="s">
        <v>327</v>
      </c>
      <c r="L5" s="2" t="s">
        <v>328</v>
      </c>
      <c r="M5" s="2" t="s">
        <v>255</v>
      </c>
    </row>
    <row r="6" spans="1:13" ht="34" x14ac:dyDescent="0.2">
      <c r="A6" s="2" t="s">
        <v>329</v>
      </c>
      <c r="B6" s="2" t="s">
        <v>330</v>
      </c>
      <c r="C6" s="2" t="s">
        <v>331</v>
      </c>
      <c r="D6" s="2" t="s">
        <v>312</v>
      </c>
      <c r="E6" s="2" t="s">
        <v>311</v>
      </c>
      <c r="F6" s="2" t="s">
        <v>311</v>
      </c>
      <c r="G6" s="2" t="s">
        <v>311</v>
      </c>
      <c r="H6" s="2" t="s">
        <v>312</v>
      </c>
      <c r="I6" s="2" t="s">
        <v>318</v>
      </c>
      <c r="J6" s="2" t="s">
        <v>312</v>
      </c>
      <c r="K6" s="2" t="s">
        <v>327</v>
      </c>
      <c r="L6" s="2" t="s">
        <v>332</v>
      </c>
      <c r="M6" s="2" t="s">
        <v>263</v>
      </c>
    </row>
    <row r="7" spans="1:13" ht="34" x14ac:dyDescent="0.2">
      <c r="A7" s="2" t="s">
        <v>333</v>
      </c>
      <c r="B7" s="2" t="s">
        <v>334</v>
      </c>
      <c r="C7" s="2" t="s">
        <v>335</v>
      </c>
      <c r="D7" s="2" t="s">
        <v>318</v>
      </c>
      <c r="E7" s="2" t="s">
        <v>318</v>
      </c>
      <c r="F7" s="2" t="s">
        <v>318</v>
      </c>
      <c r="G7" s="2" t="s">
        <v>318</v>
      </c>
      <c r="H7" s="2" t="s">
        <v>336</v>
      </c>
      <c r="I7" s="2" t="s">
        <v>337</v>
      </c>
      <c r="J7" s="2" t="s">
        <v>338</v>
      </c>
      <c r="K7" s="2" t="s">
        <v>339</v>
      </c>
      <c r="L7" s="2" t="s">
        <v>340</v>
      </c>
      <c r="M7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AE1B-047A-9E49-9759-F0CB5353D6CF}">
  <sheetPr>
    <tabColor rgb="FF70AD47"/>
  </sheetPr>
  <dimension ref="A1:N2"/>
  <sheetViews>
    <sheetView workbookViewId="0"/>
  </sheetViews>
  <sheetFormatPr baseColWidth="10" defaultRowHeight="16" x14ac:dyDescent="0.2"/>
  <cols>
    <col min="1" max="2" width="15" customWidth="1"/>
    <col min="3" max="4" width="15.83203125" customWidth="1"/>
    <col min="5" max="5" width="38.33203125" customWidth="1"/>
    <col min="6" max="7" width="20.83203125" customWidth="1"/>
    <col min="8" max="8" width="15.83203125" customWidth="1"/>
    <col min="9" max="9" width="38.33203125" customWidth="1"/>
    <col min="10" max="11" width="20.83203125" customWidth="1"/>
    <col min="12" max="12" width="13.33203125" customWidth="1"/>
    <col min="13" max="14" width="38.33203125" customWidth="1"/>
  </cols>
  <sheetData>
    <row r="1" spans="1:14" ht="34" x14ac:dyDescent="0.2">
      <c r="A1" s="2" t="s">
        <v>341</v>
      </c>
      <c r="B1" s="2" t="s">
        <v>342</v>
      </c>
      <c r="C1" s="2" t="s">
        <v>343</v>
      </c>
      <c r="D1" s="2" t="s">
        <v>344</v>
      </c>
      <c r="E1" s="2" t="s">
        <v>345</v>
      </c>
      <c r="F1" s="2" t="s">
        <v>346</v>
      </c>
      <c r="G1" s="2" t="s">
        <v>347</v>
      </c>
      <c r="H1" s="2" t="s">
        <v>348</v>
      </c>
      <c r="I1" s="2" t="s">
        <v>349</v>
      </c>
      <c r="J1" s="2" t="s">
        <v>350</v>
      </c>
      <c r="K1" s="2" t="s">
        <v>351</v>
      </c>
      <c r="L1" s="2" t="s">
        <v>352</v>
      </c>
      <c r="M1" s="2" t="s">
        <v>353</v>
      </c>
      <c r="N1" s="2" t="s">
        <v>354</v>
      </c>
    </row>
    <row r="2" spans="1:14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DCA1-7EA5-754C-A208-F09E257AADA3}">
  <sheetPr>
    <tabColor rgb="FF5B9BD5"/>
  </sheetPr>
  <dimension ref="A1:N14"/>
  <sheetViews>
    <sheetView workbookViewId="0"/>
  </sheetViews>
  <sheetFormatPr baseColWidth="10" defaultRowHeight="16" x14ac:dyDescent="0.2"/>
  <cols>
    <col min="1" max="1" width="18.33203125" customWidth="1"/>
    <col min="2" max="3" width="22.5" customWidth="1"/>
    <col min="4" max="7" width="21.6640625" customWidth="1"/>
    <col min="8" max="8" width="58.33203125" customWidth="1"/>
    <col min="9" max="10" width="20.83203125" customWidth="1"/>
    <col min="11" max="13" width="16.6640625" customWidth="1"/>
    <col min="14" max="14" width="41.6640625" customWidth="1"/>
  </cols>
  <sheetData>
    <row r="1" spans="1:14" ht="34" x14ac:dyDescent="0.2">
      <c r="A1" s="2" t="s">
        <v>355</v>
      </c>
      <c r="B1" s="2" t="s">
        <v>356</v>
      </c>
      <c r="C1" s="2" t="s">
        <v>357</v>
      </c>
      <c r="D1" s="2" t="s">
        <v>358</v>
      </c>
      <c r="E1" s="2" t="s">
        <v>359</v>
      </c>
      <c r="F1" s="2" t="s">
        <v>360</v>
      </c>
      <c r="G1" s="2" t="s">
        <v>361</v>
      </c>
      <c r="H1" s="2" t="s">
        <v>362</v>
      </c>
      <c r="I1" s="2" t="s">
        <v>363</v>
      </c>
      <c r="J1" s="2" t="s">
        <v>364</v>
      </c>
      <c r="K1" s="2" t="s">
        <v>365</v>
      </c>
      <c r="L1" s="2" t="s">
        <v>366</v>
      </c>
      <c r="M1" s="2" t="s">
        <v>367</v>
      </c>
      <c r="N1" s="2" t="s">
        <v>368</v>
      </c>
    </row>
    <row r="2" spans="1:14" ht="34" x14ac:dyDescent="0.2">
      <c r="A2" s="2" t="s">
        <v>369</v>
      </c>
      <c r="B2" s="2" t="s">
        <v>370</v>
      </c>
      <c r="C2" s="2" t="s">
        <v>371</v>
      </c>
      <c r="D2" s="2" t="s">
        <v>372</v>
      </c>
      <c r="E2" s="2" t="s">
        <v>373</v>
      </c>
      <c r="F2" s="2" t="s">
        <v>374</v>
      </c>
      <c r="G2" s="2" t="s">
        <v>375</v>
      </c>
      <c r="H2" s="2" t="s">
        <v>376</v>
      </c>
      <c r="I2" s="2" t="s">
        <v>377</v>
      </c>
      <c r="J2" s="2" t="s">
        <v>377</v>
      </c>
      <c r="K2" s="2"/>
      <c r="L2" s="2"/>
      <c r="M2" s="2"/>
      <c r="N2" s="2" t="s">
        <v>378</v>
      </c>
    </row>
    <row r="3" spans="1:14" ht="75" x14ac:dyDescent="0.2">
      <c r="A3" s="19" t="s">
        <v>438</v>
      </c>
      <c r="B3" s="19" t="s">
        <v>439</v>
      </c>
      <c r="C3" s="19" t="s">
        <v>371</v>
      </c>
      <c r="D3" s="19" t="s">
        <v>440</v>
      </c>
      <c r="E3" s="19" t="s">
        <v>441</v>
      </c>
      <c r="F3" s="19" t="s">
        <v>442</v>
      </c>
      <c r="G3" s="19" t="s">
        <v>443</v>
      </c>
      <c r="H3" s="19" t="s">
        <v>444</v>
      </c>
      <c r="I3" s="19" t="s">
        <v>445</v>
      </c>
      <c r="J3" s="19" t="s">
        <v>446</v>
      </c>
      <c r="K3" s="19">
        <v>29</v>
      </c>
      <c r="L3" s="19" t="s">
        <v>447</v>
      </c>
      <c r="M3" s="19"/>
      <c r="N3" s="19" t="s">
        <v>448</v>
      </c>
    </row>
    <row r="4" spans="1:14" ht="75" x14ac:dyDescent="0.2">
      <c r="A4" s="19" t="s">
        <v>449</v>
      </c>
      <c r="B4" s="19" t="s">
        <v>439</v>
      </c>
      <c r="C4" s="19" t="s">
        <v>371</v>
      </c>
      <c r="D4" s="19" t="s">
        <v>440</v>
      </c>
      <c r="E4" s="19" t="s">
        <v>441</v>
      </c>
      <c r="F4" s="19" t="s">
        <v>442</v>
      </c>
      <c r="G4" s="19" t="s">
        <v>450</v>
      </c>
      <c r="H4" s="19" t="s">
        <v>451</v>
      </c>
      <c r="I4" s="19" t="s">
        <v>445</v>
      </c>
      <c r="J4" s="19" t="s">
        <v>446</v>
      </c>
      <c r="K4" s="19">
        <v>187</v>
      </c>
      <c r="L4" s="19" t="s">
        <v>452</v>
      </c>
      <c r="M4" s="19"/>
      <c r="N4" s="19" t="s">
        <v>453</v>
      </c>
    </row>
    <row r="5" spans="1:14" ht="75" x14ac:dyDescent="0.2">
      <c r="A5" s="19" t="s">
        <v>454</v>
      </c>
      <c r="B5" s="19" t="s">
        <v>439</v>
      </c>
      <c r="C5" s="19" t="s">
        <v>371</v>
      </c>
      <c r="D5" s="19" t="s">
        <v>440</v>
      </c>
      <c r="E5" s="19" t="s">
        <v>441</v>
      </c>
      <c r="F5" s="19" t="s">
        <v>442</v>
      </c>
      <c r="G5" s="19" t="s">
        <v>455</v>
      </c>
      <c r="H5" s="19" t="s">
        <v>456</v>
      </c>
      <c r="I5" s="19" t="s">
        <v>445</v>
      </c>
      <c r="J5" s="19" t="s">
        <v>446</v>
      </c>
      <c r="K5" s="19">
        <v>394</v>
      </c>
      <c r="L5" s="19" t="s">
        <v>457</v>
      </c>
      <c r="M5" s="19"/>
      <c r="N5" s="19" t="s">
        <v>458</v>
      </c>
    </row>
    <row r="6" spans="1:14" ht="75" x14ac:dyDescent="0.2">
      <c r="A6" s="19" t="s">
        <v>459</v>
      </c>
      <c r="B6" s="19" t="s">
        <v>439</v>
      </c>
      <c r="C6" s="19" t="s">
        <v>371</v>
      </c>
      <c r="D6" s="19" t="s">
        <v>440</v>
      </c>
      <c r="E6" s="19" t="s">
        <v>441</v>
      </c>
      <c r="F6" s="19" t="s">
        <v>442</v>
      </c>
      <c r="G6" s="19" t="s">
        <v>460</v>
      </c>
      <c r="H6" s="19" t="s">
        <v>461</v>
      </c>
      <c r="I6" s="19" t="s">
        <v>445</v>
      </c>
      <c r="J6" s="19" t="s">
        <v>446</v>
      </c>
      <c r="K6" s="19">
        <v>1333</v>
      </c>
      <c r="L6" s="19" t="s">
        <v>462</v>
      </c>
      <c r="M6" s="19"/>
      <c r="N6" s="19" t="s">
        <v>463</v>
      </c>
    </row>
    <row r="7" spans="1:14" ht="75" x14ac:dyDescent="0.2">
      <c r="A7" s="19" t="s">
        <v>464</v>
      </c>
      <c r="B7" s="19" t="s">
        <v>465</v>
      </c>
      <c r="C7" s="19" t="s">
        <v>466</v>
      </c>
      <c r="D7" s="19" t="s">
        <v>440</v>
      </c>
      <c r="E7" s="19" t="s">
        <v>467</v>
      </c>
      <c r="F7" s="19" t="s">
        <v>468</v>
      </c>
      <c r="G7" s="19" t="s">
        <v>469</v>
      </c>
      <c r="H7" s="19" t="s">
        <v>470</v>
      </c>
      <c r="I7" s="19" t="s">
        <v>471</v>
      </c>
      <c r="J7" s="19" t="s">
        <v>472</v>
      </c>
      <c r="K7" s="19">
        <v>100</v>
      </c>
      <c r="L7" s="19" t="s">
        <v>473</v>
      </c>
      <c r="M7" s="19"/>
      <c r="N7" s="19" t="s">
        <v>474</v>
      </c>
    </row>
    <row r="8" spans="1:14" ht="75" x14ac:dyDescent="0.2">
      <c r="A8" s="19" t="s">
        <v>475</v>
      </c>
      <c r="B8" s="19" t="s">
        <v>465</v>
      </c>
      <c r="C8" s="19" t="s">
        <v>466</v>
      </c>
      <c r="D8" s="19" t="s">
        <v>440</v>
      </c>
      <c r="E8" s="19" t="s">
        <v>476</v>
      </c>
      <c r="F8" s="19" t="s">
        <v>477</v>
      </c>
      <c r="G8" s="19" t="s">
        <v>469</v>
      </c>
      <c r="H8" s="19" t="s">
        <v>478</v>
      </c>
      <c r="I8" s="19" t="s">
        <v>479</v>
      </c>
      <c r="J8" s="19" t="s">
        <v>480</v>
      </c>
      <c r="K8" s="19">
        <v>0</v>
      </c>
      <c r="L8" s="19" t="s">
        <v>481</v>
      </c>
      <c r="M8" s="19"/>
      <c r="N8" s="19" t="s">
        <v>482</v>
      </c>
    </row>
    <row r="9" spans="1:14" ht="75" x14ac:dyDescent="0.2">
      <c r="A9" s="19" t="s">
        <v>483</v>
      </c>
      <c r="B9" s="19" t="s">
        <v>465</v>
      </c>
      <c r="C9" s="19" t="s">
        <v>466</v>
      </c>
      <c r="D9" s="19" t="s">
        <v>440</v>
      </c>
      <c r="E9" s="19" t="s">
        <v>484</v>
      </c>
      <c r="F9" s="19" t="s">
        <v>485</v>
      </c>
      <c r="G9" s="19" t="s">
        <v>469</v>
      </c>
      <c r="H9" s="19" t="s">
        <v>478</v>
      </c>
      <c r="I9" s="19" t="s">
        <v>486</v>
      </c>
      <c r="J9" s="19" t="s">
        <v>472</v>
      </c>
      <c r="K9" s="19">
        <v>100</v>
      </c>
      <c r="L9" s="19" t="s">
        <v>487</v>
      </c>
      <c r="M9" s="19"/>
      <c r="N9" s="19" t="s">
        <v>488</v>
      </c>
    </row>
    <row r="10" spans="1:14" ht="75" x14ac:dyDescent="0.2">
      <c r="A10" s="19" t="s">
        <v>489</v>
      </c>
      <c r="B10" s="19" t="s">
        <v>465</v>
      </c>
      <c r="C10" s="19" t="s">
        <v>490</v>
      </c>
      <c r="D10" s="19" t="s">
        <v>491</v>
      </c>
      <c r="E10" s="19" t="s">
        <v>467</v>
      </c>
      <c r="F10" s="19" t="s">
        <v>468</v>
      </c>
      <c r="G10" s="19" t="s">
        <v>492</v>
      </c>
      <c r="H10" s="19" t="s">
        <v>493</v>
      </c>
      <c r="I10" s="19" t="s">
        <v>471</v>
      </c>
      <c r="J10" s="19" t="s">
        <v>472</v>
      </c>
      <c r="K10" s="19">
        <v>100</v>
      </c>
      <c r="L10" s="19" t="s">
        <v>494</v>
      </c>
      <c r="M10" s="19" t="s">
        <v>495</v>
      </c>
      <c r="N10" s="19" t="s">
        <v>496</v>
      </c>
    </row>
    <row r="11" spans="1:14" ht="30" x14ac:dyDescent="0.2">
      <c r="A11" s="20" t="s">
        <v>497</v>
      </c>
      <c r="B11" s="20" t="s">
        <v>465</v>
      </c>
      <c r="C11" s="20" t="s">
        <v>498</v>
      </c>
      <c r="D11" s="20" t="s">
        <v>499</v>
      </c>
      <c r="E11" s="20" t="s">
        <v>500</v>
      </c>
      <c r="F11" s="20" t="s">
        <v>501</v>
      </c>
      <c r="G11" s="20" t="s">
        <v>502</v>
      </c>
      <c r="H11" s="20" t="s">
        <v>503</v>
      </c>
      <c r="I11" s="20" t="s">
        <v>39</v>
      </c>
      <c r="J11" s="20" t="s">
        <v>504</v>
      </c>
      <c r="K11" s="20" t="s">
        <v>505</v>
      </c>
      <c r="L11" s="20" t="s">
        <v>506</v>
      </c>
      <c r="M11" s="20" t="s">
        <v>507</v>
      </c>
      <c r="N11" s="20" t="s">
        <v>508</v>
      </c>
    </row>
    <row r="12" spans="1:14" ht="102" x14ac:dyDescent="0.2">
      <c r="A12" s="2" t="s">
        <v>523</v>
      </c>
      <c r="B12" s="2" t="s">
        <v>465</v>
      </c>
      <c r="C12" s="2" t="s">
        <v>490</v>
      </c>
      <c r="D12" s="2" t="s">
        <v>524</v>
      </c>
      <c r="E12" s="2" t="s">
        <v>467</v>
      </c>
      <c r="F12" s="2" t="s">
        <v>468</v>
      </c>
      <c r="G12" s="2" t="s">
        <v>525</v>
      </c>
      <c r="H12" s="2" t="s">
        <v>493</v>
      </c>
      <c r="I12" s="2" t="s">
        <v>471</v>
      </c>
      <c r="J12" s="2" t="s">
        <v>526</v>
      </c>
      <c r="K12" s="2">
        <v>134</v>
      </c>
      <c r="L12" s="2" t="s">
        <v>527</v>
      </c>
      <c r="M12" s="2" t="s">
        <v>528</v>
      </c>
      <c r="N12" s="2" t="s">
        <v>529</v>
      </c>
    </row>
    <row r="13" spans="1:14" ht="102" x14ac:dyDescent="0.2">
      <c r="A13" s="2" t="s">
        <v>530</v>
      </c>
      <c r="B13" s="2" t="s">
        <v>465</v>
      </c>
      <c r="C13" s="2" t="s">
        <v>490</v>
      </c>
      <c r="D13" s="2" t="s">
        <v>524</v>
      </c>
      <c r="E13" s="2" t="s">
        <v>476</v>
      </c>
      <c r="F13" s="2" t="s">
        <v>477</v>
      </c>
      <c r="G13" s="2" t="s">
        <v>525</v>
      </c>
      <c r="H13" s="2" t="s">
        <v>531</v>
      </c>
      <c r="I13" s="2" t="s">
        <v>479</v>
      </c>
      <c r="J13" s="2" t="s">
        <v>532</v>
      </c>
      <c r="K13" s="2">
        <v>15</v>
      </c>
      <c r="L13" s="2" t="s">
        <v>533</v>
      </c>
      <c r="M13" s="2" t="s">
        <v>534</v>
      </c>
      <c r="N13" s="2" t="s">
        <v>535</v>
      </c>
    </row>
    <row r="14" spans="1:14" ht="102" x14ac:dyDescent="0.2">
      <c r="A14" s="2" t="s">
        <v>536</v>
      </c>
      <c r="B14" s="2" t="s">
        <v>465</v>
      </c>
      <c r="C14" s="2" t="s">
        <v>466</v>
      </c>
      <c r="D14" s="2" t="s">
        <v>491</v>
      </c>
      <c r="E14" s="2" t="s">
        <v>484</v>
      </c>
      <c r="F14" s="2" t="s">
        <v>485</v>
      </c>
      <c r="G14" s="2" t="s">
        <v>537</v>
      </c>
      <c r="H14" s="2" t="s">
        <v>538</v>
      </c>
      <c r="I14" s="2" t="s">
        <v>486</v>
      </c>
      <c r="J14" s="2" t="s">
        <v>539</v>
      </c>
      <c r="K14" s="2">
        <v>100</v>
      </c>
      <c r="L14" s="2" t="s">
        <v>540</v>
      </c>
      <c r="M14" s="2" t="s">
        <v>541</v>
      </c>
      <c r="N14" s="2" t="s">
        <v>542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D8B7-DD53-DE40-903B-0056B6AA2AE6}">
  <sheetPr>
    <tabColor rgb="FFA5A5A5"/>
  </sheetPr>
  <dimension ref="A1:H11"/>
  <sheetViews>
    <sheetView workbookViewId="0"/>
  </sheetViews>
  <sheetFormatPr baseColWidth="10" defaultRowHeight="16" x14ac:dyDescent="0.2"/>
  <cols>
    <col min="1" max="1" width="21" customWidth="1"/>
    <col min="2" max="2" width="24" customWidth="1"/>
    <col min="3" max="3" width="23.6640625" customWidth="1"/>
    <col min="5" max="5" width="20.83203125" customWidth="1"/>
    <col min="6" max="6" width="13.6640625" customWidth="1"/>
    <col min="8" max="8" width="15.33203125" customWidth="1"/>
  </cols>
  <sheetData>
    <row r="1" spans="1:8" ht="17" x14ac:dyDescent="0.2">
      <c r="A1" s="2" t="s">
        <v>379</v>
      </c>
      <c r="B1" s="2" t="s">
        <v>380</v>
      </c>
      <c r="C1" s="2" t="s">
        <v>381</v>
      </c>
      <c r="D1" s="2" t="s">
        <v>382</v>
      </c>
      <c r="E1" s="2" t="s">
        <v>383</v>
      </c>
      <c r="F1" s="2" t="s">
        <v>384</v>
      </c>
      <c r="G1" s="2" t="s">
        <v>385</v>
      </c>
      <c r="H1" s="2" t="s">
        <v>386</v>
      </c>
    </row>
    <row r="2" spans="1:8" ht="68" x14ac:dyDescent="0.2">
      <c r="A2" s="2" t="s">
        <v>387</v>
      </c>
      <c r="B2" s="2"/>
      <c r="C2" s="2"/>
      <c r="D2" s="2">
        <f t="shared" ref="D2:D11" si="0">SUM(B2:C2)</f>
        <v>0</v>
      </c>
      <c r="E2" s="2"/>
      <c r="F2" s="2"/>
      <c r="G2" s="2"/>
      <c r="H2" s="8" t="s">
        <v>388</v>
      </c>
    </row>
    <row r="3" spans="1:8" ht="17" x14ac:dyDescent="0.2">
      <c r="A3" s="2" t="s">
        <v>389</v>
      </c>
      <c r="B3" s="2"/>
      <c r="C3" s="2"/>
      <c r="D3" s="2">
        <f t="shared" si="0"/>
        <v>0</v>
      </c>
      <c r="E3" s="2"/>
      <c r="F3" s="2"/>
      <c r="G3" s="2"/>
      <c r="H3" s="8"/>
    </row>
    <row r="4" spans="1:8" ht="17" x14ac:dyDescent="0.2">
      <c r="A4" s="2" t="s">
        <v>390</v>
      </c>
      <c r="B4" s="2"/>
      <c r="C4" s="2"/>
      <c r="D4" s="2">
        <f t="shared" si="0"/>
        <v>0</v>
      </c>
      <c r="E4" s="2"/>
      <c r="F4" s="2"/>
      <c r="G4" s="2"/>
      <c r="H4" s="8"/>
    </row>
    <row r="5" spans="1:8" ht="34" x14ac:dyDescent="0.2">
      <c r="A5" s="2" t="s">
        <v>391</v>
      </c>
      <c r="B5" s="2"/>
      <c r="C5" s="2"/>
      <c r="D5" s="2">
        <f t="shared" si="0"/>
        <v>0</v>
      </c>
      <c r="E5" s="2"/>
      <c r="F5" s="2"/>
      <c r="G5" s="2"/>
      <c r="H5" s="8"/>
    </row>
    <row r="6" spans="1:8" ht="17" x14ac:dyDescent="0.2">
      <c r="A6" s="2" t="s">
        <v>392</v>
      </c>
      <c r="B6" s="2"/>
      <c r="C6" s="2"/>
      <c r="D6" s="2">
        <f t="shared" si="0"/>
        <v>0</v>
      </c>
      <c r="E6" s="2"/>
      <c r="F6" s="2"/>
      <c r="G6" s="2"/>
      <c r="H6" s="8"/>
    </row>
    <row r="7" spans="1:8" ht="17" x14ac:dyDescent="0.2">
      <c r="A7" s="2" t="s">
        <v>393</v>
      </c>
      <c r="B7" s="2"/>
      <c r="C7" s="2"/>
      <c r="D7" s="2">
        <f t="shared" si="0"/>
        <v>0</v>
      </c>
      <c r="E7" s="2"/>
      <c r="F7" s="2"/>
      <c r="G7" s="2"/>
      <c r="H7" s="8"/>
    </row>
    <row r="8" spans="1:8" ht="34" x14ac:dyDescent="0.2">
      <c r="A8" s="2" t="s">
        <v>394</v>
      </c>
      <c r="B8" s="2"/>
      <c r="C8" s="2"/>
      <c r="D8" s="2">
        <f t="shared" si="0"/>
        <v>0</v>
      </c>
      <c r="E8" s="2"/>
      <c r="F8" s="2"/>
      <c r="G8" s="2"/>
      <c r="H8" s="8"/>
    </row>
    <row r="9" spans="1:8" ht="68" x14ac:dyDescent="0.2">
      <c r="A9" s="2" t="s">
        <v>395</v>
      </c>
      <c r="B9" s="2"/>
      <c r="C9" s="2"/>
      <c r="D9" s="2">
        <f t="shared" si="0"/>
        <v>0</v>
      </c>
      <c r="E9" s="2"/>
      <c r="F9" s="2"/>
      <c r="G9" s="2"/>
      <c r="H9" s="8" t="s">
        <v>396</v>
      </c>
    </row>
    <row r="10" spans="1:8" ht="17" x14ac:dyDescent="0.2">
      <c r="A10" s="2" t="s">
        <v>397</v>
      </c>
      <c r="B10" s="2"/>
      <c r="C10" s="2"/>
      <c r="D10" s="2">
        <f t="shared" si="0"/>
        <v>0</v>
      </c>
      <c r="E10" s="2"/>
      <c r="F10" s="2"/>
      <c r="G10" s="2"/>
      <c r="H10" s="8"/>
    </row>
    <row r="11" spans="1:8" ht="68" x14ac:dyDescent="0.2">
      <c r="A11" s="2" t="s">
        <v>398</v>
      </c>
      <c r="B11" s="2"/>
      <c r="C11" s="2"/>
      <c r="D11" s="2">
        <f t="shared" si="0"/>
        <v>0</v>
      </c>
      <c r="E11" s="2"/>
      <c r="F11" s="2"/>
      <c r="G11" s="2"/>
      <c r="H11" s="8" t="s">
        <v>399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DBDA-DF3E-3143-9974-5E566081B36B}">
  <sheetPr>
    <tabColor rgb="FF8064A2"/>
  </sheetPr>
  <dimension ref="A1:B13"/>
  <sheetViews>
    <sheetView workbookViewId="0"/>
  </sheetViews>
  <sheetFormatPr baseColWidth="10" defaultRowHeight="16" x14ac:dyDescent="0.2"/>
  <sheetData>
    <row r="1" spans="1:2" ht="168" x14ac:dyDescent="0.25">
      <c r="A1" s="9" t="s">
        <v>400</v>
      </c>
      <c r="B1" s="9"/>
    </row>
    <row r="2" spans="1:2" ht="187" x14ac:dyDescent="0.2">
      <c r="A2" s="2" t="s">
        <v>401</v>
      </c>
      <c r="B2" s="2" t="s">
        <v>402</v>
      </c>
    </row>
    <row r="3" spans="1:2" ht="204" x14ac:dyDescent="0.2">
      <c r="A3" s="2" t="s">
        <v>403</v>
      </c>
      <c r="B3" s="2" t="s">
        <v>404</v>
      </c>
    </row>
    <row r="4" spans="1:2" ht="289" x14ac:dyDescent="0.2">
      <c r="A4" s="2" t="s">
        <v>405</v>
      </c>
      <c r="B4" s="2" t="s">
        <v>406</v>
      </c>
    </row>
    <row r="5" spans="1:2" ht="323" x14ac:dyDescent="0.2">
      <c r="A5" s="2" t="s">
        <v>407</v>
      </c>
      <c r="B5" s="2" t="s">
        <v>408</v>
      </c>
    </row>
    <row r="6" spans="1:2" ht="388" x14ac:dyDescent="0.2">
      <c r="A6" s="2" t="s">
        <v>409</v>
      </c>
      <c r="B6" s="2" t="s">
        <v>410</v>
      </c>
    </row>
    <row r="7" spans="1:2" ht="255" x14ac:dyDescent="0.2">
      <c r="A7" s="2" t="s">
        <v>411</v>
      </c>
      <c r="B7" s="2" t="s">
        <v>412</v>
      </c>
    </row>
    <row r="8" spans="1:2" ht="323" x14ac:dyDescent="0.2">
      <c r="A8" s="2" t="s">
        <v>413</v>
      </c>
      <c r="B8" s="2" t="s">
        <v>414</v>
      </c>
    </row>
    <row r="9" spans="1:2" ht="221" x14ac:dyDescent="0.2">
      <c r="A9" s="2" t="s">
        <v>415</v>
      </c>
      <c r="B9" s="2" t="s">
        <v>416</v>
      </c>
    </row>
    <row r="10" spans="1:2" ht="306" x14ac:dyDescent="0.2">
      <c r="A10" s="2" t="s">
        <v>417</v>
      </c>
      <c r="B10" s="2" t="s">
        <v>418</v>
      </c>
    </row>
    <row r="11" spans="1:2" x14ac:dyDescent="0.2">
      <c r="A11" s="2"/>
      <c r="B11" s="2"/>
    </row>
    <row r="12" spans="1:2" ht="51" x14ac:dyDescent="0.2">
      <c r="A12" s="6" t="s">
        <v>419</v>
      </c>
      <c r="B12" s="6"/>
    </row>
    <row r="13" spans="1:2" ht="409.6" x14ac:dyDescent="0.2">
      <c r="A13" s="2" t="s">
        <v>420</v>
      </c>
      <c r="B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Evidence Matrix</vt:lpstr>
      <vt:lpstr>Novelty Map</vt:lpstr>
      <vt:lpstr>Screening Log</vt:lpstr>
      <vt:lpstr>Search Log</vt:lpstr>
      <vt:lpstr>PRISMA Ledger</vt:lpstr>
      <vt:lpstr>Research Prompt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Shaik, Khaja {PEP}</dc:creator>
  <cp:lastModifiedBy>Shaik, Khaja {PEP}</cp:lastModifiedBy>
  <dcterms:created xsi:type="dcterms:W3CDTF">2026-08-13T13:18:12Z</dcterms:created>
  <dcterms:modified xsi:type="dcterms:W3CDTF">2026-08-15T14:06:45Z</dcterms:modified>
</cp:coreProperties>
</file>